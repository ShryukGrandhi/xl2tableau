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oducts" sheetId="2" state="visible" r:id="rId2"/>
    <sheet name="Assumptions" sheetId="3" state="visible" r:id="rId3"/>
  </sheets>
  <definedNames>
    <definedName name="TaxRate">Assumptions!$B$1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 Price</t>
        </is>
      </c>
      <c r="E1" t="inlineStr">
        <is>
          <t>Discount</t>
        </is>
      </c>
      <c r="F1" t="inlineStr">
        <is>
          <t>Revenue</t>
        </is>
      </c>
      <c r="G1" t="inlineStr">
        <is>
          <t>Tax</t>
        </is>
      </c>
      <c r="H1" t="inlineStr">
        <is>
          <t>Tier</t>
        </is>
      </c>
      <c r="I1" t="inlineStr">
        <is>
          <t>Share</t>
        </is>
      </c>
      <c r="J1" t="inlineStr">
        <is>
          <t>Region Revenue</t>
        </is>
      </c>
      <c r="K1" t="inlineStr">
        <is>
          <t>Region Share</t>
        </is>
      </c>
      <c r="L1" t="inlineStr">
        <is>
          <t>Label</t>
        </is>
      </c>
      <c r="M1" t="inlineStr">
        <is>
          <t>Margin</t>
        </is>
      </c>
      <c r="N1" t="inlineStr">
        <is>
          <t>Code</t>
        </is>
      </c>
      <c r="O1" t="inlineStr">
        <is>
          <t>Region Product Units</t>
        </is>
      </c>
      <c r="P1" t="inlineStr">
        <is>
          <t>List Price</t>
        </is>
      </c>
      <c r="Q1" t="inlineStr">
        <is>
          <t>Running Total</t>
        </is>
      </c>
    </row>
    <row r="2">
      <c r="A2" t="inlineStr">
        <is>
          <t>North</t>
        </is>
      </c>
      <c r="B2" t="inlineStr">
        <is>
          <t>Gadget</t>
        </is>
      </c>
      <c r="C2" t="n">
        <v>25</v>
      </c>
      <c r="D2" t="n">
        <v>41.81</v>
      </c>
      <c r="F2">
        <f>C2*D2*(1-E2)</f>
        <v/>
      </c>
      <c r="G2">
        <f>F2*TaxRate</f>
        <v/>
      </c>
      <c r="H2">
        <f>IF(F2&gt;=Assumptions!$B$2,"High",IF(F2&gt;=Assumptions!$B$2/5,"Mid","Low"))</f>
        <v/>
      </c>
      <c r="I2">
        <f>F2/SUM($F$2:$F$201)</f>
        <v/>
      </c>
      <c r="J2">
        <f>SUMIF($A$2:$A$201,A2,$F$2:$F$201)</f>
        <v/>
      </c>
      <c r="K2">
        <f>F2/J2</f>
        <v/>
      </c>
      <c r="L2">
        <f>A2&amp;"-"&amp;B2&amp;" x"&amp;C2</f>
        <v/>
      </c>
      <c r="M2">
        <f>IFERROR(ROUND((F2-G2)/F2,4),0)</f>
        <v/>
      </c>
      <c r="N2">
        <f>UPPER(LEFT(B2,3))&amp;MOD(C2,7)</f>
        <v/>
      </c>
      <c r="O2">
        <f>SUMIFS($C$2:$C$201,$A$2:$A$201,A2,$B$2:$B$201,B2)</f>
        <v/>
      </c>
      <c r="P2">
        <f>VLOOKUP(B2,Products!$A$2:$B$6,2,FALSE)</f>
        <v/>
      </c>
      <c r="Q2">
        <f>F2</f>
        <v/>
      </c>
    </row>
    <row r="3">
      <c r="A3" t="inlineStr">
        <is>
          <t>Central</t>
        </is>
      </c>
      <c r="B3" t="inlineStr">
        <is>
          <t>Widget</t>
        </is>
      </c>
      <c r="C3" t="n">
        <v>23</v>
      </c>
      <c r="D3" t="n">
        <v>12.81</v>
      </c>
      <c r="E3" t="n">
        <v>0.15</v>
      </c>
      <c r="F3">
        <f>C3*D3*(1-E3)</f>
        <v/>
      </c>
      <c r="G3">
        <f>F3*TaxRate</f>
        <v/>
      </c>
      <c r="H3">
        <f>IF(F3&gt;=Assumptions!$B$2,"High",IF(F3&gt;=Assumptions!$B$2/5,"Mid","Low"))</f>
        <v/>
      </c>
      <c r="I3">
        <f>F3/SUM($F$2:$F$201)</f>
        <v/>
      </c>
      <c r="J3">
        <f>SUMIF($A$2:$A$201,A3,$F$2:$F$201)</f>
        <v/>
      </c>
      <c r="K3">
        <f>F3/J3</f>
        <v/>
      </c>
      <c r="L3">
        <f>A3&amp;"-"&amp;B3&amp;" x"&amp;C3</f>
        <v/>
      </c>
      <c r="M3">
        <f>IFERROR(ROUND((F3-G3)/F3,4),0)</f>
        <v/>
      </c>
      <c r="N3">
        <f>UPPER(LEFT(B3,3))&amp;MOD(C3,7)</f>
        <v/>
      </c>
      <c r="O3">
        <f>SUMIFS($C$2:$C$201,$A$2:$A$201,A3,$B$2:$B$201,B3)</f>
        <v/>
      </c>
      <c r="P3">
        <f>VLOOKUP(B3,Products!$A$2:$B$6,2,FALSE)</f>
        <v/>
      </c>
      <c r="Q3">
        <f>Q2+F3</f>
        <v/>
      </c>
    </row>
    <row r="4">
      <c r="A4" t="inlineStr">
        <is>
          <t>West</t>
        </is>
      </c>
      <c r="B4" t="inlineStr">
        <is>
          <t>Widget</t>
        </is>
      </c>
      <c r="C4" t="n">
        <v>5</v>
      </c>
      <c r="D4" t="n">
        <v>12.25</v>
      </c>
      <c r="F4">
        <f>C4*D4*(1-E4)</f>
        <v/>
      </c>
      <c r="G4">
        <f>F4*TaxRate</f>
        <v/>
      </c>
      <c r="H4">
        <f>IF(F4&gt;=Assumptions!$B$2,"High",IF(F4&gt;=Assumptions!$B$2/5,"Mid","Low"))</f>
        <v/>
      </c>
      <c r="I4">
        <f>F4/SUM($F$2:$F$201)</f>
        <v/>
      </c>
      <c r="J4">
        <f>SUMIF($A$2:$A$201,A4,$F$2:$F$201)</f>
        <v/>
      </c>
      <c r="K4">
        <f>F4/J4</f>
        <v/>
      </c>
      <c r="L4">
        <f>A4&amp;"-"&amp;B4&amp;" x"&amp;C4</f>
        <v/>
      </c>
      <c r="M4">
        <f>IFERROR(ROUND((F4-G4)/F4,4),0)</f>
        <v/>
      </c>
      <c r="N4">
        <f>UPPER(LEFT(B4,3))&amp;MOD(C4,7)</f>
        <v/>
      </c>
      <c r="O4">
        <f>SUMIFS($C$2:$C$201,$A$2:$A$201,A4,$B$2:$B$201,B4)</f>
        <v/>
      </c>
      <c r="P4">
        <f>VLOOKUP(B4,Products!$A$2:$B$6,2,FALSE)</f>
        <v/>
      </c>
      <c r="Q4">
        <f>Q3+F4</f>
        <v/>
      </c>
    </row>
    <row r="5">
      <c r="A5" t="inlineStr">
        <is>
          <t>West</t>
        </is>
      </c>
      <c r="B5" t="inlineStr">
        <is>
          <t>Widget</t>
        </is>
      </c>
      <c r="C5" t="n">
        <v>35</v>
      </c>
      <c r="D5" t="n">
        <v>12.22</v>
      </c>
      <c r="E5" t="n">
        <v>0.15</v>
      </c>
      <c r="F5">
        <f>C5*D5*(1-E5)</f>
        <v/>
      </c>
      <c r="G5">
        <f>F5*TaxRate</f>
        <v/>
      </c>
      <c r="H5">
        <f>IF(F5&gt;=Assumptions!$B$2,"High",IF(F5&gt;=Assumptions!$B$2/5,"Mid","Low"))</f>
        <v/>
      </c>
      <c r="I5">
        <f>F5/SUM($F$2:$F$201)</f>
        <v/>
      </c>
      <c r="J5">
        <f>SUMIF($A$2:$A$201,A5,$F$2:$F$201)</f>
        <v/>
      </c>
      <c r="K5">
        <f>F5/J5</f>
        <v/>
      </c>
      <c r="L5">
        <f>A5&amp;"-"&amp;B5&amp;" x"&amp;C5</f>
        <v/>
      </c>
      <c r="M5">
        <f>IFERROR(ROUND((F5-G5)/F5,4),0)</f>
        <v/>
      </c>
      <c r="N5">
        <f>UPPER(LEFT(B5,3))&amp;MOD(C5,7)</f>
        <v/>
      </c>
      <c r="O5">
        <f>SUMIFS($C$2:$C$201,$A$2:$A$201,A5,$B$2:$B$201,B5)</f>
        <v/>
      </c>
      <c r="P5">
        <f>VLOOKUP(B5,Products!$A$2:$B$6,2,FALSE)</f>
        <v/>
      </c>
      <c r="Q5">
        <f>Q4+F5</f>
        <v/>
      </c>
    </row>
    <row r="6">
      <c r="A6" t="inlineStr">
        <is>
          <t>East</t>
        </is>
      </c>
      <c r="B6" t="inlineStr">
        <is>
          <t>Gadget</t>
        </is>
      </c>
      <c r="C6" t="n">
        <v>40</v>
      </c>
      <c r="D6" t="n">
        <v>41.53</v>
      </c>
      <c r="F6">
        <f>C6*D6*(1-E6)</f>
        <v/>
      </c>
      <c r="G6">
        <f>F6*TaxRate</f>
        <v/>
      </c>
      <c r="H6">
        <f>IF(F6&gt;=Assumptions!$B$2,"High",IF(F6&gt;=Assumptions!$B$2/5,"Mid","Low"))</f>
        <v/>
      </c>
      <c r="I6">
        <f>F6/SUM($F$2:$F$201)</f>
        <v/>
      </c>
      <c r="J6">
        <f>SUMIF($A$2:$A$201,A6,$F$2:$F$201)</f>
        <v/>
      </c>
      <c r="K6">
        <f>F6/J6</f>
        <v/>
      </c>
      <c r="L6">
        <f>A6&amp;"-"&amp;B6&amp;" x"&amp;C6</f>
        <v/>
      </c>
      <c r="M6">
        <f>IFERROR(ROUND((F6-G6)/F6,4),0)</f>
        <v/>
      </c>
      <c r="N6">
        <f>UPPER(LEFT(B6,3))&amp;MOD(C6,7)</f>
        <v/>
      </c>
      <c r="O6">
        <f>SUMIFS($C$2:$C$201,$A$2:$A$201,A6,$B$2:$B$201,B6)</f>
        <v/>
      </c>
      <c r="P6">
        <f>VLOOKUP(B6,Products!$A$2:$B$6,2,FALSE)</f>
        <v/>
      </c>
      <c r="Q6">
        <f>Q5+F6</f>
        <v/>
      </c>
    </row>
    <row r="7">
      <c r="A7" t="inlineStr">
        <is>
          <t>Central</t>
        </is>
      </c>
      <c r="B7" t="inlineStr">
        <is>
          <t>Sprocket</t>
        </is>
      </c>
      <c r="C7" t="n">
        <v>25</v>
      </c>
      <c r="D7" t="n">
        <v>2.68</v>
      </c>
      <c r="E7" t="n">
        <v>0</v>
      </c>
      <c r="F7">
        <f>C7*D7*(1-E7)</f>
        <v/>
      </c>
      <c r="G7">
        <f>F7*TaxRate</f>
        <v/>
      </c>
      <c r="H7">
        <f>IF(F7&gt;=Assumptions!$B$2,"High",IF(F7&gt;=Assumptions!$B$2/5,"Mid","Low"))</f>
        <v/>
      </c>
      <c r="I7">
        <f>F7/SUM($F$2:$F$201)</f>
        <v/>
      </c>
      <c r="J7">
        <f>SUMIF($A$2:$A$201,A7,$F$2:$F$201)</f>
        <v/>
      </c>
      <c r="K7">
        <f>F7/J7</f>
        <v/>
      </c>
      <c r="L7">
        <f>A7&amp;"-"&amp;B7&amp;" x"&amp;C7</f>
        <v/>
      </c>
      <c r="M7">
        <f>IFERROR(ROUND((F7-G7)/F7,4),0)</f>
        <v/>
      </c>
      <c r="N7">
        <f>UPPER(LEFT(B7,3))&amp;MOD(C7,7)</f>
        <v/>
      </c>
      <c r="O7">
        <f>SUMIFS($C$2:$C$201,$A$2:$A$201,A7,$B$2:$B$201,B7)</f>
        <v/>
      </c>
      <c r="P7">
        <f>VLOOKUP(B7,Products!$A$2:$B$6,2,FALSE)</f>
        <v/>
      </c>
      <c r="Q7">
        <f>Q6+F7</f>
        <v/>
      </c>
    </row>
    <row r="8">
      <c r="A8" t="inlineStr">
        <is>
          <t>East</t>
        </is>
      </c>
      <c r="B8" t="inlineStr">
        <is>
          <t>Sprocket</t>
        </is>
      </c>
      <c r="C8" t="n">
        <v>54</v>
      </c>
      <c r="D8" t="n">
        <v>2.76</v>
      </c>
      <c r="E8" t="n">
        <v>0.1</v>
      </c>
      <c r="F8">
        <f>C8*D8*(1-E8)</f>
        <v/>
      </c>
      <c r="G8">
        <f>F8*TaxRate</f>
        <v/>
      </c>
      <c r="H8">
        <f>IF(F8&gt;=Assumptions!$B$2,"High",IF(F8&gt;=Assumptions!$B$2/5,"Mid","Low"))</f>
        <v/>
      </c>
      <c r="I8">
        <f>F8/SUM($F$2:$F$201)</f>
        <v/>
      </c>
      <c r="J8">
        <f>SUMIF($A$2:$A$201,A8,$F$2:$F$201)</f>
        <v/>
      </c>
      <c r="K8">
        <f>F8/J8</f>
        <v/>
      </c>
      <c r="L8">
        <f>A8&amp;"-"&amp;B8&amp;" x"&amp;C8</f>
        <v/>
      </c>
      <c r="M8">
        <f>IFERROR(ROUND((F8-G8)/F8,4),0)</f>
        <v/>
      </c>
      <c r="N8">
        <f>UPPER(LEFT(B8,3))&amp;MOD(C8,7)</f>
        <v/>
      </c>
      <c r="O8">
        <f>SUMIFS($C$2:$C$201,$A$2:$A$201,A8,$B$2:$B$201,B8)</f>
        <v/>
      </c>
      <c r="P8">
        <f>VLOOKUP(B8,Products!$A$2:$B$6,2,FALSE)</f>
        <v/>
      </c>
      <c r="Q8">
        <f>Q7+F8</f>
        <v/>
      </c>
    </row>
    <row r="9">
      <c r="A9" t="inlineStr">
        <is>
          <t>West</t>
        </is>
      </c>
      <c r="B9" t="inlineStr">
        <is>
          <t>Sprocket</t>
        </is>
      </c>
      <c r="C9" t="n">
        <v>7</v>
      </c>
      <c r="D9" t="n">
        <v>3.17</v>
      </c>
      <c r="E9" t="n">
        <v>0.15</v>
      </c>
      <c r="F9">
        <f>C9*D9*(1-E9)</f>
        <v/>
      </c>
      <c r="G9" t="n">
        <v>12.5</v>
      </c>
      <c r="H9">
        <f>IF(F9&gt;=Assumptions!$B$2,"High",IF(F9&gt;=Assumptions!$B$2/5,"Mid","Low"))</f>
        <v/>
      </c>
      <c r="I9">
        <f>F9/SUM($F$2:$F$201)</f>
        <v/>
      </c>
      <c r="J9">
        <f>SUMIF($A$2:$A$201,A9,$F$2:$F$201)</f>
        <v/>
      </c>
      <c r="K9">
        <f>F9/J9</f>
        <v/>
      </c>
      <c r="L9">
        <f>A9&amp;"-"&amp;B9&amp;" x"&amp;C9</f>
        <v/>
      </c>
      <c r="M9">
        <f>IFERROR(ROUND((F9-G9)/F9,4),0)</f>
        <v/>
      </c>
      <c r="N9">
        <f>UPPER(LEFT(B9,3))&amp;MOD(C9,7)</f>
        <v/>
      </c>
      <c r="O9">
        <f>SUMIFS($C$2:$C$201,$A$2:$A$201,A9,$B$2:$B$201,B9)</f>
        <v/>
      </c>
      <c r="P9">
        <f>VLOOKUP(B9,Products!$A$2:$B$6,2,FALSE)</f>
        <v/>
      </c>
      <c r="Q9">
        <f>Q8+F9</f>
        <v/>
      </c>
    </row>
    <row r="10">
      <c r="A10" t="inlineStr">
        <is>
          <t>West</t>
        </is>
      </c>
      <c r="B10" t="inlineStr">
        <is>
          <t>Widget</t>
        </is>
      </c>
      <c r="C10" t="n">
        <v>37</v>
      </c>
      <c r="D10" t="n">
        <v>12.77</v>
      </c>
      <c r="E10" t="n">
        <v>0</v>
      </c>
      <c r="F10">
        <f>C10*D10*(1-E10)</f>
        <v/>
      </c>
      <c r="G10">
        <f>F10*TaxRate</f>
        <v/>
      </c>
      <c r="H10">
        <f>IF(F10&gt;=Assumptions!$B$2,"High",IF(F10&gt;=Assumptions!$B$2/5,"Mid","Low"))</f>
        <v/>
      </c>
      <c r="I10">
        <f>F10/SUM($F$2:$F$201)</f>
        <v/>
      </c>
      <c r="J10">
        <f>SUMIF($A$2:$A$201,A10,$F$2:$F$201)</f>
        <v/>
      </c>
      <c r="K10">
        <f>F10/J10</f>
        <v/>
      </c>
      <c r="L10">
        <f>A10&amp;"-"&amp;B10&amp;" x"&amp;C10</f>
        <v/>
      </c>
      <c r="M10">
        <f>IFERROR(ROUND((F10-G10)/F10,4),0)</f>
        <v/>
      </c>
      <c r="N10">
        <f>UPPER(LEFT(B10,3))&amp;MOD(C10,7)</f>
        <v/>
      </c>
      <c r="O10">
        <f>SUMIFS($C$2:$C$201,$A$2:$A$201,A10,$B$2:$B$201,B10)</f>
        <v/>
      </c>
      <c r="P10">
        <f>VLOOKUP(B10,Products!$A$2:$B$6,2,FALSE)</f>
        <v/>
      </c>
      <c r="Q10">
        <f>Q9+F10</f>
        <v/>
      </c>
    </row>
    <row r="11">
      <c r="A11" t="inlineStr">
        <is>
          <t>North</t>
        </is>
      </c>
      <c r="B11" t="inlineStr">
        <is>
          <t>Widget</t>
        </is>
      </c>
      <c r="C11" t="n">
        <v>35</v>
      </c>
      <c r="D11" t="n">
        <v>13.3</v>
      </c>
      <c r="E11" t="n">
        <v>0.15</v>
      </c>
      <c r="F11">
        <f>C11*D11*(1-E11)</f>
        <v/>
      </c>
      <c r="G11">
        <f>F11*TaxRate</f>
        <v/>
      </c>
      <c r="H11">
        <f>IF(F11&gt;=Assumptions!$B$2,"High",IF(F11&gt;=Assumptions!$B$2/5,"Mid","Low"))</f>
        <v/>
      </c>
      <c r="I11">
        <f>F11/SUM($F$2:$F$201)</f>
        <v/>
      </c>
      <c r="J11">
        <f>SUMIF($A$2:$A$201,A11,$F$2:$F$201)</f>
        <v/>
      </c>
      <c r="K11">
        <f>F11/J11</f>
        <v/>
      </c>
      <c r="L11">
        <f>A11&amp;"-"&amp;B11&amp;" x"&amp;C11</f>
        <v/>
      </c>
      <c r="M11">
        <f>IFERROR(ROUND((F11-G11)/F11,4),0)</f>
        <v/>
      </c>
      <c r="N11">
        <f>UPPER(LEFT(B11,3))&amp;MOD(C11,7)</f>
        <v/>
      </c>
      <c r="O11">
        <f>SUMIFS($C$2:$C$201,$A$2:$A$201,A11,$B$2:$B$201,B11)</f>
        <v/>
      </c>
      <c r="P11">
        <f>VLOOKUP(B11,Products!$A$2:$B$6,2,FALSE)</f>
        <v/>
      </c>
      <c r="Q11">
        <f>Q10+F11</f>
        <v/>
      </c>
    </row>
    <row r="12">
      <c r="A12" t="inlineStr">
        <is>
          <t>East</t>
        </is>
      </c>
      <c r="B12" t="inlineStr">
        <is>
          <t>Sprocket</t>
        </is>
      </c>
      <c r="C12" t="n">
        <v>13</v>
      </c>
      <c r="D12" t="n">
        <v>3.1</v>
      </c>
      <c r="E12" t="n">
        <v>0.15</v>
      </c>
      <c r="F12">
        <f>C12*D12*(1-E12)</f>
        <v/>
      </c>
      <c r="G12">
        <f>F12*TaxRate</f>
        <v/>
      </c>
      <c r="H12">
        <f>IF(F12&gt;=Assumptions!$B$2,"High",IF(F12&gt;=Assumptions!$B$2/5,"Mid","Low"))</f>
        <v/>
      </c>
      <c r="I12">
        <f>F12/SUM($F$2:$F$201)</f>
        <v/>
      </c>
      <c r="J12">
        <f>SUMIF($A$2:$A$201,A12,$F$2:$F$201)</f>
        <v/>
      </c>
      <c r="K12">
        <f>F12/J12</f>
        <v/>
      </c>
      <c r="L12">
        <f>A12&amp;"-"&amp;B12&amp;" x"&amp;C12</f>
        <v/>
      </c>
      <c r="M12">
        <f>IFERROR(ROUND((F12-G12)/F12,4),0)</f>
        <v/>
      </c>
      <c r="N12">
        <f>UPPER(LEFT(B12,3))&amp;MOD(C12,7)</f>
        <v/>
      </c>
      <c r="O12">
        <f>SUMIFS($C$2:$C$201,$A$2:$A$201,A12,$B$2:$B$201,B12)</f>
        <v/>
      </c>
      <c r="P12">
        <f>VLOOKUP(B12,Products!$A$2:$B$6,2,FALSE)</f>
        <v/>
      </c>
      <c r="Q12">
        <f>Q11+F12</f>
        <v/>
      </c>
    </row>
    <row r="13">
      <c r="A13" t="inlineStr">
        <is>
          <t>South</t>
        </is>
      </c>
      <c r="B13" t="inlineStr">
        <is>
          <t>Gizmo</t>
        </is>
      </c>
      <c r="C13" t="n">
        <v>29</v>
      </c>
      <c r="D13" t="n">
        <v>7.44</v>
      </c>
      <c r="E13" t="n">
        <v>0.1</v>
      </c>
      <c r="F13">
        <f>C13*D13*(1-E13)</f>
        <v/>
      </c>
      <c r="G13">
        <f>F13*TaxRate</f>
        <v/>
      </c>
      <c r="H13">
        <f>IF(F13&gt;=Assumptions!$B$2,"High",IF(F13&gt;=Assumptions!$B$2/5,"Mid","Low"))</f>
        <v/>
      </c>
      <c r="I13">
        <f>F13/SUM($F$2:$F$201)</f>
        <v/>
      </c>
      <c r="J13">
        <f>SUMIF($A$2:$A$201,A13,$F$2:$F$201)</f>
        <v/>
      </c>
      <c r="K13">
        <f>F13/J13</f>
        <v/>
      </c>
      <c r="L13">
        <f>A13&amp;"-"&amp;B13&amp;" x"&amp;C13</f>
        <v/>
      </c>
      <c r="M13">
        <f>IFERROR(ROUND((F13-G13)/F13,4),0)</f>
        <v/>
      </c>
      <c r="N13">
        <f>UPPER(LEFT(B13,3))&amp;MOD(C13,7)</f>
        <v/>
      </c>
      <c r="O13">
        <f>SUMIFS($C$2:$C$201,$A$2:$A$201,A13,$B$2:$B$201,B13)</f>
        <v/>
      </c>
      <c r="P13">
        <f>VLOOKUP(B13,Products!$A$2:$B$6,2,FALSE)</f>
        <v/>
      </c>
      <c r="Q13">
        <f>Q12+F13</f>
        <v/>
      </c>
    </row>
    <row r="14">
      <c r="A14" t="inlineStr">
        <is>
          <t>North</t>
        </is>
      </c>
      <c r="B14" t="inlineStr">
        <is>
          <t>Gizmo</t>
        </is>
      </c>
      <c r="C14" t="n">
        <v>15</v>
      </c>
      <c r="D14" t="n">
        <v>7.89</v>
      </c>
      <c r="E14" t="n">
        <v>0</v>
      </c>
      <c r="F14">
        <f>C14*D14*(1-E14)</f>
        <v/>
      </c>
      <c r="G14">
        <f>F14*TaxRate</f>
        <v/>
      </c>
      <c r="H14">
        <f>IF(F14&gt;=Assumptions!$B$2,"High",IF(F14&gt;=Assumptions!$B$2/5,"Mid","Low"))</f>
        <v/>
      </c>
      <c r="I14">
        <f>F14/SUM($F$2:$F$201)</f>
        <v/>
      </c>
      <c r="J14">
        <f>SUMIF($A$2:$A$201,A14,$F$2:$F$201)</f>
        <v/>
      </c>
      <c r="K14">
        <f>F14/J14</f>
        <v/>
      </c>
      <c r="L14">
        <f>A14&amp;"-"&amp;B14&amp;" x"&amp;C14</f>
        <v/>
      </c>
      <c r="M14">
        <f>IFERROR(ROUND((F14-G14)/F14,4),0)</f>
        <v/>
      </c>
      <c r="N14">
        <f>UPPER(LEFT(B14,3))&amp;MOD(C14,7)</f>
        <v/>
      </c>
      <c r="O14">
        <f>SUMIFS($C$2:$C$201,$A$2:$A$201,A14,$B$2:$B$201,B14)</f>
        <v/>
      </c>
      <c r="P14">
        <f>VLOOKUP(B14,Products!$A$2:$B$6,2,FALSE)</f>
        <v/>
      </c>
      <c r="Q14">
        <f>Q13+F14</f>
        <v/>
      </c>
    </row>
    <row r="15">
      <c r="A15" t="inlineStr">
        <is>
          <t>East</t>
        </is>
      </c>
      <c r="B15" t="inlineStr">
        <is>
          <t>Sprocket</t>
        </is>
      </c>
      <c r="C15" t="n">
        <v>19</v>
      </c>
      <c r="D15" t="n">
        <v>3.12</v>
      </c>
      <c r="E15" t="n">
        <v>0.05</v>
      </c>
      <c r="F15">
        <f>C15*D15*(1-E15)</f>
        <v/>
      </c>
      <c r="G15">
        <f>F15*TaxRate</f>
        <v/>
      </c>
      <c r="H15">
        <f>IF(F15&gt;=Assumptions!$B$2,"High",IF(F15&gt;=Assumptions!$B$2/5,"Mid","Low"))</f>
        <v/>
      </c>
      <c r="I15">
        <f>F15/SUM($F$2:$F$201)</f>
        <v/>
      </c>
      <c r="J15">
        <f>SUMIF($A$2:$A$201,A15,$F$2:$F$201)</f>
        <v/>
      </c>
      <c r="K15">
        <f>F15/J15</f>
        <v/>
      </c>
      <c r="L15">
        <f>A15&amp;"-"&amp;B15&amp;" x"&amp;C15</f>
        <v/>
      </c>
      <c r="M15">
        <f>IFERROR(ROUND((F15-G15)/F15,4),0)</f>
        <v/>
      </c>
      <c r="N15">
        <f>UPPER(LEFT(B15,3))&amp;MOD(C15,7)</f>
        <v/>
      </c>
      <c r="O15">
        <f>SUMIFS($C$2:$C$201,$A$2:$A$201,A15,$B$2:$B$201,B15)</f>
        <v/>
      </c>
      <c r="P15">
        <f>VLOOKUP(B15,Products!$A$2:$B$6,2,FALSE)</f>
        <v/>
      </c>
      <c r="Q15">
        <f>Q14+F15</f>
        <v/>
      </c>
    </row>
    <row r="16">
      <c r="A16" t="inlineStr">
        <is>
          <t>South</t>
        </is>
      </c>
      <c r="B16" t="inlineStr">
        <is>
          <t>Gizmo</t>
        </is>
      </c>
      <c r="C16" t="n">
        <v>38</v>
      </c>
      <c r="D16" t="n">
        <v>8.289999999999999</v>
      </c>
      <c r="F16">
        <f>C16*D16*(1-E16)</f>
        <v/>
      </c>
      <c r="G16">
        <f>F16*TaxRate</f>
        <v/>
      </c>
      <c r="H16">
        <f>IF(F16&gt;=Assumptions!$B$2,"High",IF(F16&gt;=Assumptions!$B$2/5,"Mid","Low"))</f>
        <v/>
      </c>
      <c r="I16">
        <f>F16/SUM($F$2:$F$201)</f>
        <v/>
      </c>
      <c r="J16">
        <f>SUMIF($A$2:$A$201,A16,$F$2:$F$201)</f>
        <v/>
      </c>
      <c r="K16">
        <f>F16/J16</f>
        <v/>
      </c>
      <c r="L16">
        <f>A16&amp;"-"&amp;B16&amp;" x"&amp;C16</f>
        <v/>
      </c>
      <c r="M16">
        <f>IFERROR(ROUND((F16-G16)/F16,4),0)</f>
        <v/>
      </c>
      <c r="N16">
        <f>UPPER(LEFT(B16,3))&amp;MOD(C16,7)</f>
        <v/>
      </c>
      <c r="O16">
        <f>SUMIFS($C$2:$C$201,$A$2:$A$201,A16,$B$2:$B$201,B16)</f>
        <v/>
      </c>
      <c r="P16">
        <f>VLOOKUP(B16,Products!$A$2:$B$6,2,FALSE)</f>
        <v/>
      </c>
      <c r="Q16">
        <f>Q15+F16</f>
        <v/>
      </c>
    </row>
    <row r="17">
      <c r="A17" t="inlineStr">
        <is>
          <t>Central</t>
        </is>
      </c>
      <c r="B17" t="inlineStr">
        <is>
          <t>Doohickey</t>
        </is>
      </c>
      <c r="C17" t="n">
        <v>10</v>
      </c>
      <c r="D17" t="n">
        <v>106.64</v>
      </c>
      <c r="E17" t="n">
        <v>0</v>
      </c>
      <c r="F17">
        <f>C17*D17*(1-E17)</f>
        <v/>
      </c>
      <c r="G17">
        <f>F17*TaxRate</f>
        <v/>
      </c>
      <c r="H17">
        <f>IF(F17&gt;=Assumptions!$B$2,"High",IF(F17&gt;=Assumptions!$B$2/5,"Mid","Low"))</f>
        <v/>
      </c>
      <c r="I17">
        <f>F17/SUM($F$2:$F$201)</f>
        <v/>
      </c>
      <c r="J17">
        <f>SUMIF($A$2:$A$201,A17,$F$2:$F$201)</f>
        <v/>
      </c>
      <c r="K17">
        <f>F17/J17</f>
        <v/>
      </c>
      <c r="L17">
        <f>A17&amp;"-"&amp;B17&amp;" x"&amp;C17</f>
        <v/>
      </c>
      <c r="M17">
        <f>IFERROR(ROUND((F17-G17)/F17,4),0)</f>
        <v/>
      </c>
      <c r="N17">
        <f>UPPER(LEFT(B17,3))&amp;MOD(C17,7)</f>
        <v/>
      </c>
      <c r="O17">
        <f>SUMIFS($C$2:$C$201,$A$2:$A$201,A17,$B$2:$B$201,B17)</f>
        <v/>
      </c>
      <c r="P17">
        <f>VLOOKUP(B17,Products!$A$2:$B$6,2,FALSE)</f>
        <v/>
      </c>
      <c r="Q17">
        <f>Q16+F17</f>
        <v/>
      </c>
    </row>
    <row r="18">
      <c r="A18" t="inlineStr">
        <is>
          <t>South</t>
        </is>
      </c>
      <c r="B18" t="inlineStr">
        <is>
          <t>Doohickey</t>
        </is>
      </c>
      <c r="C18" t="n">
        <v>2</v>
      </c>
      <c r="D18" t="n">
        <v>112.72</v>
      </c>
      <c r="F18">
        <f>C18*D18*(1-E18)</f>
        <v/>
      </c>
      <c r="G18">
        <f>F18*TaxRate</f>
        <v/>
      </c>
      <c r="H18">
        <f>IF(F18&gt;=Assumptions!$B$2,"High",IF(F18&gt;=Assumptions!$B$2/5,"Mid","Low"))</f>
        <v/>
      </c>
      <c r="I18">
        <f>F18/SUM($F$2:$F$201)</f>
        <v/>
      </c>
      <c r="J18">
        <f>SUMIF($A$2:$A$201,A18,$F$2:$F$201)</f>
        <v/>
      </c>
      <c r="K18">
        <f>F18/J18</f>
        <v/>
      </c>
      <c r="L18">
        <f>A18&amp;"-"&amp;B18&amp;" x"&amp;C18</f>
        <v/>
      </c>
      <c r="M18">
        <f>IFERROR(ROUND((F18-G18)/F18,4),0)</f>
        <v/>
      </c>
      <c r="N18">
        <f>UPPER(LEFT(B18,3))&amp;MOD(C18,7)</f>
        <v/>
      </c>
      <c r="O18">
        <f>SUMIFS($C$2:$C$201,$A$2:$A$201,A18,$B$2:$B$201,B18)</f>
        <v/>
      </c>
      <c r="P18">
        <f>VLOOKUP(B18,Products!$A$2:$B$6,2,FALSE)</f>
        <v/>
      </c>
      <c r="Q18">
        <f>Q17+F18</f>
        <v/>
      </c>
    </row>
    <row r="19">
      <c r="A19" t="inlineStr">
        <is>
          <t>Central</t>
        </is>
      </c>
      <c r="B19" t="inlineStr">
        <is>
          <t>Sprocket</t>
        </is>
      </c>
      <c r="C19" t="n">
        <v>50</v>
      </c>
      <c r="D19" t="n">
        <v>3.45</v>
      </c>
      <c r="E19" t="n">
        <v>0.05</v>
      </c>
      <c r="F19">
        <f>C19*D19*(1-E19)</f>
        <v/>
      </c>
      <c r="G19">
        <f>F19*TaxRate</f>
        <v/>
      </c>
      <c r="H19">
        <f>IF(F19&gt;=Assumptions!$B$2,"High",IF(F19&gt;=Assumptions!$B$2/5,"Mid","Low"))</f>
        <v/>
      </c>
      <c r="I19">
        <f>F19/SUM($F$2:$F$201)</f>
        <v/>
      </c>
      <c r="J19">
        <f>SUMIF($A$2:$A$201,A19,$F$2:$F$201)</f>
        <v/>
      </c>
      <c r="K19">
        <f>F19/J19</f>
        <v/>
      </c>
      <c r="L19">
        <f>A19&amp;"-"&amp;B19&amp;" x"&amp;C19</f>
        <v/>
      </c>
      <c r="M19">
        <f>IFERROR(ROUND((F19-G19)/F19,4),0)</f>
        <v/>
      </c>
      <c r="N19">
        <f>UPPER(LEFT(B19,3))&amp;MOD(C19,7)</f>
        <v/>
      </c>
      <c r="O19">
        <f>SUMIFS($C$2:$C$201,$A$2:$A$201,A19,$B$2:$B$201,B19)</f>
        <v/>
      </c>
      <c r="P19">
        <f>VLOOKUP(B19,Products!$A$2:$B$6,2,FALSE)</f>
        <v/>
      </c>
      <c r="Q19">
        <f>Q18+F19</f>
        <v/>
      </c>
    </row>
    <row r="20">
      <c r="A20" t="inlineStr">
        <is>
          <t>North</t>
        </is>
      </c>
      <c r="B20" t="inlineStr">
        <is>
          <t>Gizmo</t>
        </is>
      </c>
      <c r="C20" t="n">
        <v>38</v>
      </c>
      <c r="D20" t="n">
        <v>7.24</v>
      </c>
      <c r="E20" t="n">
        <v>0.1</v>
      </c>
      <c r="F20">
        <f>C20*D20*(1-E20)</f>
        <v/>
      </c>
      <c r="G20">
        <f>F20*TaxRate</f>
        <v/>
      </c>
      <c r="H20">
        <f>IF(F20&gt;=Assumptions!$B$2,"High",IF(F20&gt;=Assumptions!$B$2/5,"Mid","Low"))</f>
        <v/>
      </c>
      <c r="I20">
        <f>F20/SUM($F$2:$F$201)</f>
        <v/>
      </c>
      <c r="J20">
        <f>SUMIF($A$2:$A$201,A20,$F$2:$F$201)</f>
        <v/>
      </c>
      <c r="K20">
        <f>F20/J20</f>
        <v/>
      </c>
      <c r="L20">
        <f>A20&amp;"-"&amp;B20&amp;" x"&amp;C20</f>
        <v/>
      </c>
      <c r="M20">
        <f>IFERROR(ROUND((F20-G20)/F20,4),0)</f>
        <v/>
      </c>
      <c r="N20">
        <f>UPPER(LEFT(B20,3))&amp;MOD(C20,7)</f>
        <v/>
      </c>
      <c r="O20">
        <f>SUMIFS($C$2:$C$201,$A$2:$A$201,A20,$B$2:$B$201,B20)</f>
        <v/>
      </c>
      <c r="P20">
        <f>VLOOKUP(B20,Products!$A$2:$B$6,2,FALSE)</f>
        <v/>
      </c>
      <c r="Q20">
        <f>Q19+F20</f>
        <v/>
      </c>
    </row>
    <row r="21">
      <c r="A21" t="inlineStr">
        <is>
          <t>East</t>
        </is>
      </c>
      <c r="B21" t="inlineStr">
        <is>
          <t>Widget</t>
        </is>
      </c>
      <c r="C21" t="n">
        <v>60</v>
      </c>
      <c r="D21" t="n">
        <v>11.64</v>
      </c>
      <c r="F21">
        <f>C21*D21*(1-E21)</f>
        <v/>
      </c>
      <c r="G21">
        <f>F21*TaxRate</f>
        <v/>
      </c>
      <c r="H21">
        <f>IF(F21&gt;=Assumptions!$B$2,"High",IF(F21&gt;=Assumptions!$B$2/5,"Mid","Low"))</f>
        <v/>
      </c>
      <c r="I21">
        <f>F21/SUM($F$2:$F$201)</f>
        <v/>
      </c>
      <c r="J21">
        <f>SUMIF($A$2:$A$201,A21,$F$2:$F$201)</f>
        <v/>
      </c>
      <c r="K21">
        <f>F21/J21</f>
        <v/>
      </c>
      <c r="L21">
        <f>A21&amp;"-"&amp;B21&amp;" x"&amp;C21</f>
        <v/>
      </c>
      <c r="M21">
        <f>IFERROR(ROUND((F21-G21)/F21,4),0)</f>
        <v/>
      </c>
      <c r="N21">
        <f>UPPER(LEFT(B21,3))&amp;MOD(C21,7)</f>
        <v/>
      </c>
      <c r="O21">
        <f>SUMIFS($C$2:$C$201,$A$2:$A$201,A21,$B$2:$B$201,B21)</f>
        <v/>
      </c>
      <c r="P21">
        <f>VLOOKUP(B21,Products!$A$2:$B$6,2,FALSE)</f>
        <v/>
      </c>
      <c r="Q21">
        <f>Q20+F21</f>
        <v/>
      </c>
    </row>
    <row r="22">
      <c r="A22" t="inlineStr">
        <is>
          <t>East</t>
        </is>
      </c>
      <c r="B22" t="inlineStr">
        <is>
          <t>Gizmo</t>
        </is>
      </c>
      <c r="C22" t="n">
        <v>41</v>
      </c>
      <c r="D22" t="n">
        <v>7.42</v>
      </c>
      <c r="E22" t="n">
        <v>0.1</v>
      </c>
      <c r="F22">
        <f>C22*D22*(1-E22)</f>
        <v/>
      </c>
      <c r="G22">
        <f>F22*TaxRate</f>
        <v/>
      </c>
      <c r="H22">
        <f>IF(F22&gt;=Assumptions!$B$2,"High",IF(F22&gt;=Assumptions!$B$2/5,"Mid","Low"))</f>
        <v/>
      </c>
      <c r="I22">
        <f>F22/SUM($F$2:$F$201)</f>
        <v/>
      </c>
      <c r="J22">
        <f>SUMIF($A$2:$A$201,A22,$F$2:$F$201)</f>
        <v/>
      </c>
      <c r="K22">
        <f>F22/J22</f>
        <v/>
      </c>
      <c r="L22">
        <f>A22&amp;"-"&amp;B22&amp;" x"&amp;C22</f>
        <v/>
      </c>
      <c r="M22">
        <f>IFERROR(ROUND((F22-G22)/F22,4),0)</f>
        <v/>
      </c>
      <c r="N22">
        <f>UPPER(LEFT(B22,3))&amp;MOD(C22,7)</f>
        <v/>
      </c>
      <c r="O22">
        <f>SUMIFS($C$2:$C$201,$A$2:$A$201,A22,$B$2:$B$201,B22)</f>
        <v/>
      </c>
      <c r="P22">
        <f>VLOOKUP(B22,Products!$A$2:$B$6,2,FALSE)</f>
        <v/>
      </c>
      <c r="Q22">
        <f>Q21+F22</f>
        <v/>
      </c>
    </row>
    <row r="23">
      <c r="A23" t="inlineStr">
        <is>
          <t>North</t>
        </is>
      </c>
      <c r="B23" t="inlineStr">
        <is>
          <t>Doohickey</t>
        </is>
      </c>
      <c r="C23" t="n">
        <v>56</v>
      </c>
      <c r="D23" t="n">
        <v>104.01</v>
      </c>
      <c r="F23">
        <f>C23*D23*(1-E23)</f>
        <v/>
      </c>
      <c r="G23">
        <f>F23*TaxRate</f>
        <v/>
      </c>
      <c r="H23">
        <f>IF(F23&gt;=Assumptions!$B$2,"High",IF(F23&gt;=Assumptions!$B$2/5,"Mid","Low"))</f>
        <v/>
      </c>
      <c r="I23">
        <f>F23/SUM($F$2:$F$201)</f>
        <v/>
      </c>
      <c r="J23">
        <f>SUMIF($A$2:$A$201,A23,$F$2:$F$201)</f>
        <v/>
      </c>
      <c r="K23">
        <f>F23/J23</f>
        <v/>
      </c>
      <c r="L23">
        <f>A23&amp;"-"&amp;B23&amp;" x"&amp;C23</f>
        <v/>
      </c>
      <c r="M23">
        <f>IFERROR(ROUND((F23-G23)/F23,4),0)</f>
        <v/>
      </c>
      <c r="N23">
        <f>UPPER(LEFT(B23,3))&amp;MOD(C23,7)</f>
        <v/>
      </c>
      <c r="O23">
        <f>SUMIFS($C$2:$C$201,$A$2:$A$201,A23,$B$2:$B$201,B23)</f>
        <v/>
      </c>
      <c r="P23">
        <f>VLOOKUP(B23,Products!$A$2:$B$6,2,FALSE)</f>
        <v/>
      </c>
      <c r="Q23">
        <f>Q22+F23</f>
        <v/>
      </c>
    </row>
    <row r="24">
      <c r="A24" t="inlineStr">
        <is>
          <t>South</t>
        </is>
      </c>
      <c r="B24" t="inlineStr">
        <is>
          <t>Gizmo</t>
        </is>
      </c>
      <c r="C24" t="n">
        <v>10</v>
      </c>
      <c r="D24" t="n">
        <v>7.49</v>
      </c>
      <c r="E24" t="n">
        <v>0.1</v>
      </c>
      <c r="F24">
        <f>C24*D24*(1-E24)</f>
        <v/>
      </c>
      <c r="G24">
        <f>F24*TaxRate</f>
        <v/>
      </c>
      <c r="H24">
        <f>IF(F24&gt;=Assumptions!$B$2,"High",IF(F24&gt;=Assumptions!$B$2/5,"Mid","Low"))</f>
        <v/>
      </c>
      <c r="I24">
        <f>F24/SUM($F$2:$F$201)</f>
        <v/>
      </c>
      <c r="J24">
        <f>SUMIF($A$2:$A$201,A24,$F$2:$F$201)</f>
        <v/>
      </c>
      <c r="K24">
        <f>F24/J24</f>
        <v/>
      </c>
      <c r="L24">
        <f>A24&amp;"-"&amp;B24&amp;" x"&amp;C24</f>
        <v/>
      </c>
      <c r="M24">
        <f>IFERROR(ROUND((F24-G24)/F24,4),0)</f>
        <v/>
      </c>
      <c r="N24">
        <f>UPPER(LEFT(B24,3))&amp;MOD(C24,7)</f>
        <v/>
      </c>
      <c r="O24">
        <f>SUMIFS($C$2:$C$201,$A$2:$A$201,A24,$B$2:$B$201,B24)</f>
        <v/>
      </c>
      <c r="P24">
        <f>VLOOKUP(B24,Products!$A$2:$B$6,2,FALSE)</f>
        <v/>
      </c>
      <c r="Q24">
        <f>Q23+F24</f>
        <v/>
      </c>
    </row>
    <row r="25">
      <c r="A25" t="inlineStr">
        <is>
          <t>East</t>
        </is>
      </c>
      <c r="B25" t="inlineStr">
        <is>
          <t>Gadget</t>
        </is>
      </c>
      <c r="C25" t="n">
        <v>49</v>
      </c>
      <c r="D25" t="n">
        <v>37.45</v>
      </c>
      <c r="E25" t="n">
        <v>0</v>
      </c>
      <c r="F25">
        <f>C25*D25*(1-E25)</f>
        <v/>
      </c>
      <c r="G25">
        <f>F25*TaxRate</f>
        <v/>
      </c>
      <c r="H25">
        <f>IF(F25&gt;=Assumptions!$B$2,"High",IF(F25&gt;=Assumptions!$B$2/5,"Mid","Low"))</f>
        <v/>
      </c>
      <c r="I25">
        <f>F25/SUM($F$2:$F$201)</f>
        <v/>
      </c>
      <c r="J25">
        <f>SUMIF($A$2:$A$201,A25,$F$2:$F$201)</f>
        <v/>
      </c>
      <c r="K25">
        <f>F25/J25</f>
        <v/>
      </c>
      <c r="L25">
        <f>A25&amp;"-"&amp;B25&amp;" x"&amp;C25</f>
        <v/>
      </c>
      <c r="M25">
        <f>IFERROR(ROUND((F25-G25)/F25,4),0)</f>
        <v/>
      </c>
      <c r="N25">
        <f>UPPER(LEFT(B25,3))&amp;MOD(C25,7)</f>
        <v/>
      </c>
      <c r="O25">
        <f>SUMIFS($C$2:$C$201,$A$2:$A$201,A25,$B$2:$B$201,B25)</f>
        <v/>
      </c>
      <c r="P25">
        <f>VLOOKUP(B25,Products!$A$2:$B$6,2,FALSE)</f>
        <v/>
      </c>
      <c r="Q25">
        <f>Q24+F25</f>
        <v/>
      </c>
    </row>
    <row r="26">
      <c r="A26" t="inlineStr">
        <is>
          <t>South</t>
        </is>
      </c>
      <c r="B26" t="inlineStr">
        <is>
          <t>Doohickey</t>
        </is>
      </c>
      <c r="C26" t="n">
        <v>58</v>
      </c>
      <c r="D26" t="n">
        <v>110.03</v>
      </c>
      <c r="F26">
        <f>C26*D26*(1-E26)</f>
        <v/>
      </c>
      <c r="G26">
        <f>F26*TaxRate</f>
        <v/>
      </c>
      <c r="H26">
        <f>IF(F26&gt;=Assumptions!$B$2,"High",IF(F26&gt;=Assumptions!$B$2/5,"Mid","Low"))</f>
        <v/>
      </c>
      <c r="I26">
        <f>F26/SUM($F$2:$F$201)</f>
        <v/>
      </c>
      <c r="J26">
        <f>SUMIF($A$2:$A$201,A26,$F$2:$F$201)</f>
        <v/>
      </c>
      <c r="K26">
        <f>F26/J26</f>
        <v/>
      </c>
      <c r="L26">
        <f>A26&amp;"-"&amp;B26&amp;" x"&amp;C26</f>
        <v/>
      </c>
      <c r="M26">
        <f>IFERROR(ROUND((F26-G26)/F26,4),0)</f>
        <v/>
      </c>
      <c r="N26">
        <f>UPPER(LEFT(B26,3))&amp;MOD(C26,7)</f>
        <v/>
      </c>
      <c r="O26">
        <f>SUMIFS($C$2:$C$201,$A$2:$A$201,A26,$B$2:$B$201,B26)</f>
        <v/>
      </c>
      <c r="P26">
        <f>VLOOKUP(B26,Products!$A$2:$B$6,2,FALSE)</f>
        <v/>
      </c>
      <c r="Q26">
        <f>Q25+F26</f>
        <v/>
      </c>
    </row>
    <row r="27">
      <c r="A27" t="inlineStr">
        <is>
          <t>West</t>
        </is>
      </c>
      <c r="B27" t="inlineStr">
        <is>
          <t>Doohickey</t>
        </is>
      </c>
      <c r="C27" t="n">
        <v>25</v>
      </c>
      <c r="D27" t="n">
        <v>100.47</v>
      </c>
      <c r="E27" t="n">
        <v>0</v>
      </c>
      <c r="F27">
        <f>C27*D27*(1-E27)</f>
        <v/>
      </c>
      <c r="G27">
        <f>F27*TaxRate</f>
        <v/>
      </c>
      <c r="H27">
        <f>IF(F27&gt;=Assumptions!$B$2,"High",IF(F27&gt;=Assumptions!$B$2/5,"Mid","Low"))</f>
        <v/>
      </c>
      <c r="I27">
        <f>F27/SUM($F$2:$F$201)</f>
        <v/>
      </c>
      <c r="J27">
        <f>SUMIF($A$2:$A$201,A27,$F$2:$F$201)</f>
        <v/>
      </c>
      <c r="K27">
        <f>F27/J27</f>
        <v/>
      </c>
      <c r="L27">
        <f>A27&amp;"-"&amp;B27&amp;" x"&amp;C27</f>
        <v/>
      </c>
      <c r="M27">
        <f>IFERROR(ROUND((F27-G27)/F27,4),0)</f>
        <v/>
      </c>
      <c r="N27">
        <f>UPPER(LEFT(B27,3))&amp;MOD(C27,7)</f>
        <v/>
      </c>
      <c r="O27">
        <f>SUMIFS($C$2:$C$201,$A$2:$A$201,A27,$B$2:$B$201,B27)</f>
        <v/>
      </c>
      <c r="P27">
        <f>VLOOKUP(B27,Products!$A$2:$B$6,2,FALSE)</f>
        <v/>
      </c>
      <c r="Q27">
        <f>Q26+F27</f>
        <v/>
      </c>
    </row>
    <row r="28">
      <c r="A28" t="inlineStr">
        <is>
          <t>South</t>
        </is>
      </c>
      <c r="B28" t="inlineStr">
        <is>
          <t>Sprocket</t>
        </is>
      </c>
      <c r="C28" t="n">
        <v>17</v>
      </c>
      <c r="D28" t="n">
        <v>3.29</v>
      </c>
      <c r="E28" t="n">
        <v>0.05</v>
      </c>
      <c r="F28">
        <f>C28*D28*(1-E28)</f>
        <v/>
      </c>
      <c r="G28">
        <f>F28*TaxRate</f>
        <v/>
      </c>
      <c r="H28">
        <f>IF(F28&gt;=Assumptions!$B$2,"High",IF(F28&gt;=Assumptions!$B$2/5,"Mid","Low"))</f>
        <v/>
      </c>
      <c r="I28">
        <f>F28/SUM($F$2:$F$201)</f>
        <v/>
      </c>
      <c r="J28">
        <f>SUMIF($A$2:$A$201,A28,$F$2:$F$201)</f>
        <v/>
      </c>
      <c r="K28">
        <f>F28/J28</f>
        <v/>
      </c>
      <c r="L28">
        <f>A28&amp;"-"&amp;B28&amp;" x"&amp;C28</f>
        <v/>
      </c>
      <c r="M28">
        <f>IFERROR(ROUND((F28-G28)/F28,4),0)</f>
        <v/>
      </c>
      <c r="N28">
        <f>UPPER(LEFT(B28,3))&amp;MOD(C28,7)</f>
        <v/>
      </c>
      <c r="O28">
        <f>SUMIFS($C$2:$C$201,$A$2:$A$201,A28,$B$2:$B$201,B28)</f>
        <v/>
      </c>
      <c r="P28">
        <f>VLOOKUP(B28,Products!$A$2:$B$6,2,FALSE)</f>
        <v/>
      </c>
      <c r="Q28">
        <f>Q27+F28</f>
        <v/>
      </c>
    </row>
    <row r="29">
      <c r="A29" t="inlineStr">
        <is>
          <t>South</t>
        </is>
      </c>
      <c r="B29" t="inlineStr">
        <is>
          <t>Gadget</t>
        </is>
      </c>
      <c r="C29" t="n">
        <v>9</v>
      </c>
      <c r="D29" t="n">
        <v>35</v>
      </c>
      <c r="E29" t="n">
        <v>0</v>
      </c>
      <c r="F29">
        <f>C29*D29*(1-E29)</f>
        <v/>
      </c>
      <c r="G29">
        <f>F29*TaxRate</f>
        <v/>
      </c>
      <c r="H29">
        <f>IF(F29&gt;=Assumptions!$B$2,"High",IF(F29&gt;=Assumptions!$B$2/5,"Mid","Low"))</f>
        <v/>
      </c>
      <c r="I29">
        <f>F29/SUM($F$2:$F$201)</f>
        <v/>
      </c>
      <c r="J29">
        <f>SUMIF($A$2:$A$201,A29,$F$2:$F$201)</f>
        <v/>
      </c>
      <c r="K29">
        <f>F29/J29</f>
        <v/>
      </c>
      <c r="L29">
        <f>A29&amp;"-"&amp;B29&amp;" x"&amp;C29</f>
        <v/>
      </c>
      <c r="M29">
        <f>IFERROR(ROUND((F29-G29)/F29,4),0)</f>
        <v/>
      </c>
      <c r="N29">
        <f>UPPER(LEFT(B29,3))&amp;MOD(C29,7)</f>
        <v/>
      </c>
      <c r="O29">
        <f>SUMIFS($C$2:$C$201,$A$2:$A$201,A29,$B$2:$B$201,B29)</f>
        <v/>
      </c>
      <c r="P29">
        <f>VLOOKUP(B29,Products!$A$2:$B$6,2,FALSE)</f>
        <v/>
      </c>
      <c r="Q29">
        <f>Q28+F29</f>
        <v/>
      </c>
    </row>
    <row r="30">
      <c r="A30" t="inlineStr">
        <is>
          <t>West</t>
        </is>
      </c>
      <c r="B30" t="inlineStr">
        <is>
          <t>Gadget</t>
        </is>
      </c>
      <c r="C30" t="n">
        <v>0</v>
      </c>
      <c r="D30" t="n">
        <v>39.82</v>
      </c>
      <c r="E30" t="n">
        <v>0.15</v>
      </c>
      <c r="F30">
        <f>C30*D30*(1-E30)</f>
        <v/>
      </c>
      <c r="G30">
        <f>F30*TaxRate</f>
        <v/>
      </c>
      <c r="H30">
        <f>IF(F30&gt;=Assumptions!$B$2,"High",IF(F30&gt;=Assumptions!$B$2/5,"Mid","Low"))</f>
        <v/>
      </c>
      <c r="I30">
        <f>F30/SUM($F$2:$F$201)</f>
        <v/>
      </c>
      <c r="J30">
        <f>SUMIF($A$2:$A$201,A30,$F$2:$F$201)</f>
        <v/>
      </c>
      <c r="K30">
        <f>F30/J30</f>
        <v/>
      </c>
      <c r="L30">
        <f>A30&amp;"-"&amp;B30&amp;" x"&amp;C30</f>
        <v/>
      </c>
      <c r="M30">
        <f>IFERROR(ROUND((F30-G30)/F30,4),0)</f>
        <v/>
      </c>
      <c r="N30">
        <f>UPPER(LEFT(B30,3))&amp;MOD(C30,7)</f>
        <v/>
      </c>
      <c r="O30">
        <f>SUMIFS($C$2:$C$201,$A$2:$A$201,A30,$B$2:$B$201,B30)</f>
        <v/>
      </c>
      <c r="P30">
        <f>VLOOKUP(B30,Products!$A$2:$B$6,2,FALSE)</f>
        <v/>
      </c>
      <c r="Q30">
        <f>Q29+F30</f>
        <v/>
      </c>
    </row>
    <row r="31">
      <c r="A31" t="inlineStr">
        <is>
          <t>West</t>
        </is>
      </c>
      <c r="B31" t="inlineStr">
        <is>
          <t>Gizmo</t>
        </is>
      </c>
      <c r="C31" t="n">
        <v>18</v>
      </c>
      <c r="D31" t="n">
        <v>6.17</v>
      </c>
      <c r="E31" t="n">
        <v>0.1</v>
      </c>
      <c r="F31">
        <f>C31*D31*(1-E31)</f>
        <v/>
      </c>
      <c r="G31">
        <f>F31*TaxRate</f>
        <v/>
      </c>
      <c r="H31">
        <f>IF(F31&gt;=Assumptions!$B$2,"High",IF(F31&gt;=Assumptions!$B$2/5,"Mid","Low"))</f>
        <v/>
      </c>
      <c r="I31">
        <f>F31/SUM($F$2:$F$201)</f>
        <v/>
      </c>
      <c r="J31">
        <f>SUMIF($A$2:$A$201,A31,$F$2:$F$201)</f>
        <v/>
      </c>
      <c r="K31">
        <f>F31/J31</f>
        <v/>
      </c>
      <c r="L31">
        <f>A31&amp;"-"&amp;B31&amp;" x"&amp;C31</f>
        <v/>
      </c>
      <c r="M31">
        <f>IFERROR(ROUND((F31-G31)/F31,4),0)</f>
        <v/>
      </c>
      <c r="N31">
        <f>UPPER(LEFT(B31,3))&amp;MOD(C31,7)</f>
        <v/>
      </c>
      <c r="O31">
        <f>SUMIFS($C$2:$C$201,$A$2:$A$201,A31,$B$2:$B$201,B31)</f>
        <v/>
      </c>
      <c r="P31">
        <f>VLOOKUP(B31,Products!$A$2:$B$6,2,FALSE)</f>
        <v/>
      </c>
      <c r="Q31">
        <f>Q30+F31</f>
        <v/>
      </c>
    </row>
    <row r="32">
      <c r="A32" t="inlineStr">
        <is>
          <t>Central</t>
        </is>
      </c>
      <c r="B32" t="inlineStr">
        <is>
          <t>Gizmo</t>
        </is>
      </c>
      <c r="C32" t="n">
        <v>39</v>
      </c>
      <c r="D32" t="n">
        <v>7.39</v>
      </c>
      <c r="E32" t="n">
        <v>0</v>
      </c>
      <c r="F32">
        <f>C32*D32*(1-E32)</f>
        <v/>
      </c>
      <c r="G32">
        <f>F32*TaxRate</f>
        <v/>
      </c>
      <c r="H32">
        <f>IF(F32&gt;=Assumptions!$B$2,"High",IF(F32&gt;=Assumptions!$B$2/5,"Mid","Low"))</f>
        <v/>
      </c>
      <c r="I32">
        <f>F32/SUM($F$2:$F$201)</f>
        <v/>
      </c>
      <c r="J32">
        <f>SUMIF($A$2:$A$201,A32,$F$2:$F$201)</f>
        <v/>
      </c>
      <c r="K32">
        <f>F32/J32</f>
        <v/>
      </c>
      <c r="L32">
        <f>A32&amp;"-"&amp;B32&amp;" x"&amp;C32</f>
        <v/>
      </c>
      <c r="M32">
        <f>IFERROR(ROUND((F32-G32)/F32,4),0)</f>
        <v/>
      </c>
      <c r="N32">
        <f>UPPER(LEFT(B32,3))&amp;MOD(C32,7)</f>
        <v/>
      </c>
      <c r="O32">
        <f>SUMIFS($C$2:$C$201,$A$2:$A$201,A32,$B$2:$B$201,B32)</f>
        <v/>
      </c>
      <c r="P32">
        <f>VLOOKUP(B32,Products!$A$2:$B$6,2,FALSE)</f>
        <v/>
      </c>
      <c r="Q32">
        <f>Q31+F32</f>
        <v/>
      </c>
    </row>
    <row r="33">
      <c r="A33" t="inlineStr">
        <is>
          <t>Central</t>
        </is>
      </c>
      <c r="B33" t="inlineStr">
        <is>
          <t>Sprocket</t>
        </is>
      </c>
      <c r="C33" t="n">
        <v>41</v>
      </c>
      <c r="D33" t="n">
        <v>3.26</v>
      </c>
      <c r="F33">
        <f>C33*D33*(1-E33)</f>
        <v/>
      </c>
      <c r="G33">
        <f>F33*TaxRate</f>
        <v/>
      </c>
      <c r="H33">
        <f>IF(F33&gt;=Assumptions!$B$2,"High",IF(F33&gt;=Assumptions!$B$2/5,"Mid","Low"))</f>
        <v/>
      </c>
      <c r="I33">
        <f>F33/SUM($F$2:$F$201)</f>
        <v/>
      </c>
      <c r="J33">
        <f>SUMIF($A$2:$A$201,A33,$F$2:$F$201)</f>
        <v/>
      </c>
      <c r="K33">
        <f>F33/J33</f>
        <v/>
      </c>
      <c r="L33">
        <f>A33&amp;"-"&amp;B33&amp;" x"&amp;C33</f>
        <v/>
      </c>
      <c r="M33">
        <f>IFERROR(ROUND((F33-G33)/F33,4),0)</f>
        <v/>
      </c>
      <c r="N33">
        <f>UPPER(LEFT(B33,3))&amp;MOD(C33,7)</f>
        <v/>
      </c>
      <c r="O33">
        <f>SUMIFS($C$2:$C$201,$A$2:$A$201,A33,$B$2:$B$201,B33)</f>
        <v/>
      </c>
      <c r="P33">
        <f>VLOOKUP(B33,Products!$A$2:$B$6,2,FALSE)</f>
        <v/>
      </c>
      <c r="Q33">
        <f>Q32+F33</f>
        <v/>
      </c>
    </row>
    <row r="34">
      <c r="A34" t="inlineStr">
        <is>
          <t>South</t>
        </is>
      </c>
      <c r="B34" t="inlineStr">
        <is>
          <t>Sprocket</t>
        </is>
      </c>
      <c r="C34" t="n">
        <v>25</v>
      </c>
      <c r="D34" t="n">
        <v>3.01</v>
      </c>
      <c r="E34" t="n">
        <v>0.1</v>
      </c>
      <c r="F34">
        <f>C34*D34*(1-E34)</f>
        <v/>
      </c>
      <c r="G34">
        <f>F34*TaxRate</f>
        <v/>
      </c>
      <c r="H34">
        <f>IF(F34&gt;=Assumptions!$B$2,"High",IF(F34&gt;=Assumptions!$B$2/5,"Mid","Low"))</f>
        <v/>
      </c>
      <c r="I34">
        <f>F34/SUM($F$2:$F$201)</f>
        <v/>
      </c>
      <c r="J34">
        <f>SUMIF($A$2:$A$201,A34,$F$2:$F$201)</f>
        <v/>
      </c>
      <c r="K34">
        <f>F34/J34</f>
        <v/>
      </c>
      <c r="L34">
        <f>A34&amp;"-"&amp;B34&amp;" x"&amp;C34</f>
        <v/>
      </c>
      <c r="M34">
        <f>IFERROR(ROUND((F34-G34)/F34,4),0)</f>
        <v/>
      </c>
      <c r="N34">
        <f>UPPER(LEFT(B34,3))&amp;MOD(C34,7)</f>
        <v/>
      </c>
      <c r="O34">
        <f>SUMIFS($C$2:$C$201,$A$2:$A$201,A34,$B$2:$B$201,B34)</f>
        <v/>
      </c>
      <c r="P34">
        <f>VLOOKUP(B34,Products!$A$2:$B$6,2,FALSE)</f>
        <v/>
      </c>
      <c r="Q34">
        <f>Q33+F34</f>
        <v/>
      </c>
    </row>
    <row r="35">
      <c r="A35" t="inlineStr">
        <is>
          <t>East</t>
        </is>
      </c>
      <c r="B35" t="inlineStr">
        <is>
          <t>Doohickey</t>
        </is>
      </c>
      <c r="C35" t="n">
        <v>40</v>
      </c>
      <c r="D35" t="n">
        <v>96.04000000000001</v>
      </c>
      <c r="E35" t="n">
        <v>0</v>
      </c>
      <c r="F35">
        <f>C35*D35*(1-E35)</f>
        <v/>
      </c>
      <c r="G35">
        <f>F35*TaxRate</f>
        <v/>
      </c>
      <c r="H35">
        <f>IF(F35&gt;=Assumptions!$B$2,"High",IF(F35&gt;=Assumptions!$B$2/5,"Mid","Low"))</f>
        <v/>
      </c>
      <c r="I35">
        <f>F35/SUM($F$2:$F$201)</f>
        <v/>
      </c>
      <c r="J35">
        <f>SUMIF($A$2:$A$201,A35,$F$2:$F$201)</f>
        <v/>
      </c>
      <c r="K35">
        <f>F35/J35</f>
        <v/>
      </c>
      <c r="L35">
        <f>A35&amp;"-"&amp;B35&amp;" x"&amp;C35</f>
        <v/>
      </c>
      <c r="M35">
        <f>IFERROR(ROUND((F35-G35)/F35,4),0)</f>
        <v/>
      </c>
      <c r="N35">
        <f>UPPER(LEFT(B35,3))&amp;MOD(C35,7)</f>
        <v/>
      </c>
      <c r="O35">
        <f>SUMIFS($C$2:$C$201,$A$2:$A$201,A35,$B$2:$B$201,B35)</f>
        <v/>
      </c>
      <c r="P35">
        <f>VLOOKUP(B35,Products!$A$2:$B$6,2,FALSE)</f>
        <v/>
      </c>
      <c r="Q35">
        <f>Q34+F35</f>
        <v/>
      </c>
    </row>
    <row r="36">
      <c r="A36" t="inlineStr">
        <is>
          <t>East</t>
        </is>
      </c>
      <c r="B36" t="inlineStr">
        <is>
          <t>Gadget</t>
        </is>
      </c>
      <c r="C36" t="n">
        <v>28</v>
      </c>
      <c r="D36" t="n">
        <v>35.95</v>
      </c>
      <c r="E36" t="n">
        <v>0.05</v>
      </c>
      <c r="F36">
        <f>C36*D36*(1-E36)</f>
        <v/>
      </c>
      <c r="G36">
        <f>F36*TaxRate</f>
        <v/>
      </c>
      <c r="H36">
        <f>IF(F36&gt;=Assumptions!$B$2,"High",IF(F36&gt;=Assumptions!$B$2/5,"Mid","Low"))</f>
        <v/>
      </c>
      <c r="I36">
        <f>F36/SUM($F$2:$F$201)</f>
        <v/>
      </c>
      <c r="J36">
        <f>SUMIF($A$2:$A$201,A36,$F$2:$F$201)</f>
        <v/>
      </c>
      <c r="K36">
        <f>F36/J36</f>
        <v/>
      </c>
      <c r="L36">
        <f>A36&amp;"-"&amp;B36&amp;" x"&amp;C36</f>
        <v/>
      </c>
      <c r="M36">
        <f>IFERROR(ROUND((F36-G36)/F36,4),0)</f>
        <v/>
      </c>
      <c r="N36">
        <f>UPPER(LEFT(B36,3))&amp;MOD(C36,7)</f>
        <v/>
      </c>
      <c r="O36">
        <f>SUMIFS($C$2:$C$201,$A$2:$A$201,A36,$B$2:$B$201,B36)</f>
        <v/>
      </c>
      <c r="P36">
        <f>VLOOKUP(B36,Products!$A$2:$B$6,2,FALSE)</f>
        <v/>
      </c>
      <c r="Q36">
        <f>Q35+F36</f>
        <v/>
      </c>
    </row>
    <row r="37">
      <c r="A37" t="inlineStr">
        <is>
          <t>Central</t>
        </is>
      </c>
      <c r="B37" t="inlineStr">
        <is>
          <t>Widget</t>
        </is>
      </c>
      <c r="C37" t="n">
        <v>6</v>
      </c>
      <c r="D37" t="n">
        <v>10.63</v>
      </c>
      <c r="E37" t="n">
        <v>0</v>
      </c>
      <c r="F37">
        <f>C37*D37*(1-E37)</f>
        <v/>
      </c>
      <c r="G37">
        <f>F37*TaxRate</f>
        <v/>
      </c>
      <c r="H37">
        <f>IF(F37&gt;=Assumptions!$B$2,"High",IF(F37&gt;=Assumptions!$B$2/5,"Mid","Low"))</f>
        <v/>
      </c>
      <c r="I37">
        <f>F37/SUM($F$2:$F$201)</f>
        <v/>
      </c>
      <c r="J37">
        <f>SUMIF($A$2:$A$201,A37,$F$2:$F$201)</f>
        <v/>
      </c>
      <c r="K37">
        <f>F37/J37</f>
        <v/>
      </c>
      <c r="L37">
        <f>A37&amp;"-"&amp;B37&amp;" x"&amp;C37</f>
        <v/>
      </c>
      <c r="M37">
        <f>IFERROR(ROUND((F37-G37)/F37,4),0)</f>
        <v/>
      </c>
      <c r="N37">
        <f>UPPER(LEFT(B37,3))&amp;MOD(C37,7)</f>
        <v/>
      </c>
      <c r="O37">
        <f>SUMIFS($C$2:$C$201,$A$2:$A$201,A37,$B$2:$B$201,B37)</f>
        <v/>
      </c>
      <c r="P37">
        <f>VLOOKUP(B37,Products!$A$2:$B$6,2,FALSE)</f>
        <v/>
      </c>
      <c r="Q37">
        <f>Q36+F37</f>
        <v/>
      </c>
    </row>
    <row r="38">
      <c r="A38" t="inlineStr">
        <is>
          <t>Central</t>
        </is>
      </c>
      <c r="B38" t="inlineStr">
        <is>
          <t>Widget</t>
        </is>
      </c>
      <c r="C38" t="n">
        <v>60</v>
      </c>
      <c r="D38" t="n">
        <v>11.99</v>
      </c>
      <c r="F38">
        <f>C38*D38*(1-E38)</f>
        <v/>
      </c>
      <c r="G38">
        <f>F38*TaxRate</f>
        <v/>
      </c>
      <c r="H38">
        <f>IF(F38&gt;=Assumptions!$B$2,"High",IF(F38&gt;=Assumptions!$B$2/5,"Mid","Low"))</f>
        <v/>
      </c>
      <c r="I38">
        <f>F38/SUM($F$2:$F$201)</f>
        <v/>
      </c>
      <c r="J38">
        <f>SUMIF($A$2:$A$201,A38,$F$2:$F$201)</f>
        <v/>
      </c>
      <c r="K38">
        <f>F38/J38</f>
        <v/>
      </c>
      <c r="L38">
        <f>A38&amp;"-"&amp;B38&amp;" x"&amp;C38</f>
        <v/>
      </c>
      <c r="M38">
        <f>IFERROR(ROUND((F38-G38)/F38,4),0)</f>
        <v/>
      </c>
      <c r="N38">
        <f>UPPER(LEFT(B38,3))&amp;MOD(C38,7)</f>
        <v/>
      </c>
      <c r="O38">
        <f>SUMIFS($C$2:$C$201,$A$2:$A$201,A38,$B$2:$B$201,B38)</f>
        <v/>
      </c>
      <c r="P38">
        <f>VLOOKUP(B38,Products!$A$2:$B$6,2,FALSE)</f>
        <v/>
      </c>
      <c r="Q38">
        <f>Q37+F38</f>
        <v/>
      </c>
    </row>
    <row r="39">
      <c r="A39" t="inlineStr">
        <is>
          <t>East</t>
        </is>
      </c>
      <c r="B39" t="inlineStr">
        <is>
          <t>Gadget</t>
        </is>
      </c>
      <c r="C39" t="n">
        <v>39</v>
      </c>
      <c r="D39" t="n">
        <v>38.51</v>
      </c>
      <c r="E39" t="n">
        <v>0.05</v>
      </c>
      <c r="F39">
        <f>C39*D39*(1-E39)</f>
        <v/>
      </c>
      <c r="G39">
        <f>F39*TaxRate</f>
        <v/>
      </c>
      <c r="H39">
        <f>IF(F39&gt;=Assumptions!$B$2,"High",IF(F39&gt;=Assumptions!$B$2/5,"Mid","Low"))</f>
        <v/>
      </c>
      <c r="I39">
        <f>F39/SUM($F$2:$F$201)</f>
        <v/>
      </c>
      <c r="J39">
        <f>SUMIF($A$2:$A$201,A39,$F$2:$F$201)</f>
        <v/>
      </c>
      <c r="K39">
        <f>F39/J39</f>
        <v/>
      </c>
      <c r="L39">
        <f>A39&amp;"-"&amp;B39&amp;" x"&amp;C39</f>
        <v/>
      </c>
      <c r="M39">
        <f>IFERROR(ROUND((F39-G39)/F39,4),0)</f>
        <v/>
      </c>
      <c r="N39">
        <f>UPPER(LEFT(B39,3))&amp;MOD(C39,7)</f>
        <v/>
      </c>
      <c r="O39">
        <f>SUMIFS($C$2:$C$201,$A$2:$A$201,A39,$B$2:$B$201,B39)</f>
        <v/>
      </c>
      <c r="P39">
        <f>VLOOKUP(B39,Products!$A$2:$B$6,2,FALSE)</f>
        <v/>
      </c>
      <c r="Q39">
        <f>Q38+F39</f>
        <v/>
      </c>
    </row>
    <row r="40">
      <c r="A40" t="inlineStr">
        <is>
          <t>North</t>
        </is>
      </c>
      <c r="B40" t="inlineStr">
        <is>
          <t>Sprocket</t>
        </is>
      </c>
      <c r="C40" t="n">
        <v>23</v>
      </c>
      <c r="D40" t="n">
        <v>3.08</v>
      </c>
      <c r="F40">
        <f>C40*D40*(1-E40)</f>
        <v/>
      </c>
      <c r="G40">
        <f>F40*TaxRate</f>
        <v/>
      </c>
      <c r="H40">
        <f>IF(F40&gt;=Assumptions!$B$2,"High",IF(F40&gt;=Assumptions!$B$2/5,"Mid","Low"))</f>
        <v/>
      </c>
      <c r="I40">
        <f>F40/SUM($F$2:$F$201)</f>
        <v/>
      </c>
      <c r="J40">
        <f>SUMIF($A$2:$A$201,A40,$F$2:$F$201)</f>
        <v/>
      </c>
      <c r="K40">
        <f>F40/J40</f>
        <v/>
      </c>
      <c r="L40">
        <f>A40&amp;"-"&amp;B40&amp;" x"&amp;C40</f>
        <v/>
      </c>
      <c r="M40">
        <f>IFERROR(ROUND((F40-G40)/F40,4),0)</f>
        <v/>
      </c>
      <c r="N40">
        <f>UPPER(LEFT(B40,3))&amp;MOD(C40,7)</f>
        <v/>
      </c>
      <c r="O40">
        <f>SUMIFS($C$2:$C$201,$A$2:$A$201,A40,$B$2:$B$201,B40)</f>
        <v/>
      </c>
      <c r="P40">
        <f>VLOOKUP(B40,Products!$A$2:$B$6,2,FALSE)</f>
        <v/>
      </c>
      <c r="Q40">
        <f>Q39+F40</f>
        <v/>
      </c>
    </row>
    <row r="41">
      <c r="A41" t="inlineStr">
        <is>
          <t>South</t>
        </is>
      </c>
      <c r="B41" t="inlineStr">
        <is>
          <t>Doohickey</t>
        </is>
      </c>
      <c r="C41" t="n">
        <v>30</v>
      </c>
      <c r="D41" t="n">
        <v>98.52</v>
      </c>
      <c r="F41">
        <f>C41*D41*(1-E41)</f>
        <v/>
      </c>
      <c r="G41">
        <f>F41*TaxRate</f>
        <v/>
      </c>
      <c r="H41">
        <f>IF(F41&gt;=Assumptions!$B$2,"High",IF(F41&gt;=Assumptions!$B$2/5,"Mid","Low"))</f>
        <v/>
      </c>
      <c r="I41">
        <f>F41/SUM($F$2:$F$201)</f>
        <v/>
      </c>
      <c r="J41">
        <f>SUMIF($A$2:$A$201,A41,$F$2:$F$201)</f>
        <v/>
      </c>
      <c r="K41">
        <f>F41/J41</f>
        <v/>
      </c>
      <c r="L41">
        <f>A41&amp;"-"&amp;B41&amp;" x"&amp;C41</f>
        <v/>
      </c>
      <c r="M41">
        <f>IFERROR(ROUND((F41-G41)/F41,4),0)</f>
        <v/>
      </c>
      <c r="N41">
        <f>UPPER(LEFT(B41,3))&amp;MOD(C41,7)</f>
        <v/>
      </c>
      <c r="O41">
        <f>SUMIFS($C$2:$C$201,$A$2:$A$201,A41,$B$2:$B$201,B41)</f>
        <v/>
      </c>
      <c r="P41">
        <f>VLOOKUP(B41,Products!$A$2:$B$6,2,FALSE)</f>
        <v/>
      </c>
      <c r="Q41">
        <f>Q40+F41</f>
        <v/>
      </c>
    </row>
    <row r="42">
      <c r="A42" t="inlineStr">
        <is>
          <t>West</t>
        </is>
      </c>
      <c r="B42" t="inlineStr">
        <is>
          <t>Widget</t>
        </is>
      </c>
      <c r="C42" t="n">
        <v>47</v>
      </c>
      <c r="D42" t="n">
        <v>11.91</v>
      </c>
      <c r="E42" t="n">
        <v>0.05</v>
      </c>
      <c r="F42">
        <f>C42*D42*(1-E42)</f>
        <v/>
      </c>
      <c r="G42">
        <f>F42*TaxRate</f>
        <v/>
      </c>
      <c r="H42">
        <f>IF(F42&gt;=Assumptions!$B$2,"High",IF(F42&gt;=Assumptions!$B$2/5,"Mid","Low"))</f>
        <v/>
      </c>
      <c r="I42">
        <f>F42/SUM($F$2:$F$201)</f>
        <v/>
      </c>
      <c r="J42">
        <f>SUMIF($A$2:$A$201,A42,$F$2:$F$201)</f>
        <v/>
      </c>
      <c r="K42">
        <f>F42/J42</f>
        <v/>
      </c>
      <c r="L42">
        <f>A42&amp;"-"&amp;B42&amp;" x"&amp;C42</f>
        <v/>
      </c>
      <c r="M42">
        <f>IFERROR(ROUND((F42-G42)/F42,4),0)</f>
        <v/>
      </c>
      <c r="N42">
        <f>UPPER(LEFT(B42,3))&amp;MOD(C42,7)</f>
        <v/>
      </c>
      <c r="O42">
        <f>SUMIFS($C$2:$C$201,$A$2:$A$201,A42,$B$2:$B$201,B42)</f>
        <v/>
      </c>
      <c r="P42">
        <f>VLOOKUP(B42,Products!$A$2:$B$6,2,FALSE)</f>
        <v/>
      </c>
      <c r="Q42">
        <f>Q41+F42</f>
        <v/>
      </c>
    </row>
    <row r="43">
      <c r="A43" t="inlineStr">
        <is>
          <t>South</t>
        </is>
      </c>
      <c r="B43" t="inlineStr">
        <is>
          <t>Gadget</t>
        </is>
      </c>
      <c r="C43" t="n">
        <v>33</v>
      </c>
      <c r="D43" t="n">
        <v>34.28</v>
      </c>
      <c r="E43" t="n">
        <v>0.15</v>
      </c>
      <c r="F43">
        <f>C43*D43*(1-E43)</f>
        <v/>
      </c>
      <c r="G43">
        <f>F43*TaxRate</f>
        <v/>
      </c>
      <c r="H43">
        <f>IF(F43&gt;=Assumptions!$B$2,"High",IF(F43&gt;=Assumptions!$B$2/5,"Mid","Low"))</f>
        <v/>
      </c>
      <c r="I43">
        <f>F43/SUM($F$2:$F$201)</f>
        <v/>
      </c>
      <c r="J43">
        <f>SUMIF($A$2:$A$201,A43,$F$2:$F$201)</f>
        <v/>
      </c>
      <c r="K43">
        <f>F43/J43</f>
        <v/>
      </c>
      <c r="L43">
        <f>A43&amp;"-"&amp;B43&amp;" x"&amp;C43</f>
        <v/>
      </c>
      <c r="M43">
        <f>IFERROR(ROUND((F43-G43)/F43,4),0)</f>
        <v/>
      </c>
      <c r="N43">
        <f>UPPER(LEFT(B43,3))&amp;MOD(C43,7)</f>
        <v/>
      </c>
      <c r="O43">
        <f>SUMIFS($C$2:$C$201,$A$2:$A$201,A43,$B$2:$B$201,B43)</f>
        <v/>
      </c>
      <c r="P43">
        <f>VLOOKUP(B43,Products!$A$2:$B$6,2,FALSE)</f>
        <v/>
      </c>
      <c r="Q43">
        <f>Q42+F43</f>
        <v/>
      </c>
    </row>
    <row r="44">
      <c r="A44" t="inlineStr">
        <is>
          <t>North</t>
        </is>
      </c>
      <c r="B44" t="inlineStr">
        <is>
          <t>Gadget</t>
        </is>
      </c>
      <c r="C44" t="n">
        <v>44</v>
      </c>
      <c r="D44" t="n">
        <v>40.52</v>
      </c>
      <c r="F44">
        <f>C44*D44*(1-E44)</f>
        <v/>
      </c>
      <c r="G44">
        <f>F44*TaxRate</f>
        <v/>
      </c>
      <c r="H44">
        <f>IF(F44&gt;=Assumptions!$B$2,"High",IF(F44&gt;=Assumptions!$B$2/5,"Mid","Low"))</f>
        <v/>
      </c>
      <c r="I44">
        <f>F44/SUM($F$2:$F$201)</f>
        <v/>
      </c>
      <c r="J44">
        <f>SUMIF($A$2:$A$201,A44,$F$2:$F$201)</f>
        <v/>
      </c>
      <c r="K44">
        <f>F44/J44</f>
        <v/>
      </c>
      <c r="L44">
        <f>A44&amp;"-"&amp;B44&amp;" x"&amp;C44</f>
        <v/>
      </c>
      <c r="M44">
        <f>IFERROR(ROUND((F44-G44)/F44,4),0)</f>
        <v/>
      </c>
      <c r="N44">
        <f>UPPER(LEFT(B44,3))&amp;MOD(C44,7)</f>
        <v/>
      </c>
      <c r="O44">
        <f>SUMIFS($C$2:$C$201,$A$2:$A$201,A44,$B$2:$B$201,B44)</f>
        <v/>
      </c>
      <c r="P44">
        <f>VLOOKUP(B44,Products!$A$2:$B$6,2,FALSE)</f>
        <v/>
      </c>
      <c r="Q44">
        <f>Q43+F44</f>
        <v/>
      </c>
    </row>
    <row r="45">
      <c r="A45" t="inlineStr">
        <is>
          <t>Central</t>
        </is>
      </c>
      <c r="B45" t="inlineStr">
        <is>
          <t>Gizmo</t>
        </is>
      </c>
      <c r="C45" t="n">
        <v>41</v>
      </c>
      <c r="D45" t="n">
        <v>8.039999999999999</v>
      </c>
      <c r="E45" t="n">
        <v>0.05</v>
      </c>
      <c r="F45">
        <f>C45*D45*(1-E45)</f>
        <v/>
      </c>
      <c r="G45">
        <f>F45*TaxRate</f>
        <v/>
      </c>
      <c r="H45">
        <f>IF(F45&gt;=Assumptions!$B$2,"High",IF(F45&gt;=Assumptions!$B$2/5,"Mid","Low"))</f>
        <v/>
      </c>
      <c r="I45">
        <f>F45/SUM($F$2:$F$201)</f>
        <v/>
      </c>
      <c r="J45">
        <f>SUMIF($A$2:$A$201,A45,$F$2:$F$201)</f>
        <v/>
      </c>
      <c r="K45">
        <f>F45/J45</f>
        <v/>
      </c>
      <c r="L45">
        <f>A45&amp;"-"&amp;B45&amp;" x"&amp;C45</f>
        <v/>
      </c>
      <c r="M45">
        <f>IFERROR(ROUND((F45-G45)/F45,4),0)</f>
        <v/>
      </c>
      <c r="N45">
        <f>UPPER(LEFT(B45,3))&amp;MOD(C45,7)</f>
        <v/>
      </c>
      <c r="O45">
        <f>SUMIFS($C$2:$C$201,$A$2:$A$201,A45,$B$2:$B$201,B45)</f>
        <v/>
      </c>
      <c r="P45">
        <f>VLOOKUP(B45,Products!$A$2:$B$6,2,FALSE)</f>
        <v/>
      </c>
      <c r="Q45">
        <f>Q44+F45</f>
        <v/>
      </c>
    </row>
    <row r="46">
      <c r="A46" t="inlineStr">
        <is>
          <t>Central</t>
        </is>
      </c>
      <c r="B46" t="inlineStr">
        <is>
          <t>Gizmo</t>
        </is>
      </c>
      <c r="C46" t="n">
        <v>58</v>
      </c>
      <c r="D46" t="n">
        <v>6.53</v>
      </c>
      <c r="E46" t="n">
        <v>0</v>
      </c>
      <c r="F46">
        <f>C46*D46*(1-E46)</f>
        <v/>
      </c>
      <c r="G46">
        <f>F46*TaxRate</f>
        <v/>
      </c>
      <c r="H46">
        <f>IF(F46&gt;=Assumptions!$B$2,"High",IF(F46&gt;=Assumptions!$B$2/5,"Mid","Low"))</f>
        <v/>
      </c>
      <c r="I46">
        <f>F46/SUM($F$2:$F$201)</f>
        <v/>
      </c>
      <c r="J46">
        <f>SUMIF($A$2:$A$201,A46,$F$2:$F$201)</f>
        <v/>
      </c>
      <c r="K46">
        <f>F46/J46</f>
        <v/>
      </c>
      <c r="L46">
        <f>A46&amp;"-"&amp;B46&amp;" x"&amp;C46</f>
        <v/>
      </c>
      <c r="M46">
        <f>IFERROR(ROUND((F46-G46)/F46,4),0)</f>
        <v/>
      </c>
      <c r="N46">
        <f>UPPER(LEFT(B46,3))&amp;MOD(C46,7)</f>
        <v/>
      </c>
      <c r="O46">
        <f>SUMIFS($C$2:$C$201,$A$2:$A$201,A46,$B$2:$B$201,B46)</f>
        <v/>
      </c>
      <c r="P46">
        <f>VLOOKUP(B46,Products!$A$2:$B$6,2,FALSE)</f>
        <v/>
      </c>
      <c r="Q46">
        <f>Q45+F46</f>
        <v/>
      </c>
    </row>
    <row r="47">
      <c r="A47" t="inlineStr">
        <is>
          <t>Central</t>
        </is>
      </c>
      <c r="B47" t="inlineStr">
        <is>
          <t>Sprocket</t>
        </is>
      </c>
      <c r="C47" t="n">
        <v>49</v>
      </c>
      <c r="D47" t="n">
        <v>3.1</v>
      </c>
      <c r="E47" t="n">
        <v>0</v>
      </c>
      <c r="F47">
        <f>C47*D47*(1-E47)</f>
        <v/>
      </c>
      <c r="G47">
        <f>F47*TaxRate</f>
        <v/>
      </c>
      <c r="H47">
        <f>IF(F47&gt;=Assumptions!$B$2,"High",IF(F47&gt;=Assumptions!$B$2/5,"Mid","Low"))</f>
        <v/>
      </c>
      <c r="I47">
        <f>F47/SUM($F$2:$F$201)</f>
        <v/>
      </c>
      <c r="J47">
        <f>SUMIF($A$2:$A$201,A47,$F$2:$F$201)</f>
        <v/>
      </c>
      <c r="K47">
        <f>F47/J47</f>
        <v/>
      </c>
      <c r="L47">
        <f>A47&amp;"-"&amp;B47&amp;" x"&amp;C47</f>
        <v/>
      </c>
      <c r="M47">
        <f>IFERROR(ROUND((F47-G47)/F47,4),0)</f>
        <v/>
      </c>
      <c r="N47">
        <f>UPPER(LEFT(B47,3))&amp;MOD(C47,7)</f>
        <v/>
      </c>
      <c r="O47">
        <f>SUMIFS($C$2:$C$201,$A$2:$A$201,A47,$B$2:$B$201,B47)</f>
        <v/>
      </c>
      <c r="P47">
        <f>VLOOKUP(B47,Products!$A$2:$B$6,2,FALSE)</f>
        <v/>
      </c>
      <c r="Q47">
        <f>Q46+F47</f>
        <v/>
      </c>
    </row>
    <row r="48">
      <c r="A48" t="inlineStr">
        <is>
          <t>Central</t>
        </is>
      </c>
      <c r="B48" t="inlineStr">
        <is>
          <t>Gadget</t>
        </is>
      </c>
      <c r="C48" t="n">
        <v>51</v>
      </c>
      <c r="D48" t="n">
        <v>36.87</v>
      </c>
      <c r="E48" t="n">
        <v>0.1</v>
      </c>
      <c r="F48">
        <f>C48*D48*(1-E48)</f>
        <v/>
      </c>
      <c r="G48">
        <f>F48*TaxRate</f>
        <v/>
      </c>
      <c r="H48">
        <f>IF(F48&gt;=Assumptions!$B$2,"High",IF(F48&gt;=Assumptions!$B$2/5,"Mid","Low"))</f>
        <v/>
      </c>
      <c r="I48">
        <f>F48/SUM($F$2:$F$201)</f>
        <v/>
      </c>
      <c r="J48">
        <f>SUMIF($A$2:$A$201,A48,$F$2:$F$201)</f>
        <v/>
      </c>
      <c r="K48">
        <f>F48/J48</f>
        <v/>
      </c>
      <c r="L48">
        <f>A48&amp;"-"&amp;B48&amp;" x"&amp;C48</f>
        <v/>
      </c>
      <c r="M48">
        <f>IFERROR(ROUND((F48-G48)/F48,4),0)</f>
        <v/>
      </c>
      <c r="N48">
        <f>UPPER(LEFT(B48,3))&amp;MOD(C48,7)</f>
        <v/>
      </c>
      <c r="O48">
        <f>SUMIFS($C$2:$C$201,$A$2:$A$201,A48,$B$2:$B$201,B48)</f>
        <v/>
      </c>
      <c r="P48">
        <f>VLOOKUP(B48,Products!$A$2:$B$6,2,FALSE)</f>
        <v/>
      </c>
      <c r="Q48">
        <f>Q47+F48</f>
        <v/>
      </c>
    </row>
    <row r="49">
      <c r="A49" t="inlineStr">
        <is>
          <t>West</t>
        </is>
      </c>
      <c r="B49" t="inlineStr">
        <is>
          <t>Gadget</t>
        </is>
      </c>
      <c r="C49" t="n">
        <v>33</v>
      </c>
      <c r="D49" t="n">
        <v>39.91</v>
      </c>
      <c r="F49">
        <f>C49*D49*(1-E49)</f>
        <v/>
      </c>
      <c r="G49">
        <f>F49*TaxRate</f>
        <v/>
      </c>
      <c r="H49">
        <f>IF(F49&gt;=Assumptions!$B$2,"High",IF(F49&gt;=Assumptions!$B$2/5,"Mid","Low"))</f>
        <v/>
      </c>
      <c r="I49">
        <f>F49/SUM($F$2:$F$201)</f>
        <v/>
      </c>
      <c r="J49">
        <f>SUMIF($A$2:$A$201,A49,$F$2:$F$201)</f>
        <v/>
      </c>
      <c r="K49">
        <f>F49/J49</f>
        <v/>
      </c>
      <c r="L49">
        <f>A49&amp;"-"&amp;B49&amp;" x"&amp;C49</f>
        <v/>
      </c>
      <c r="M49">
        <f>IFERROR(ROUND((F49-G49)/F49,4),0)</f>
        <v/>
      </c>
      <c r="N49">
        <f>UPPER(LEFT(B49,3))&amp;MOD(C49,7)</f>
        <v/>
      </c>
      <c r="O49">
        <f>SUMIFS($C$2:$C$201,$A$2:$A$201,A49,$B$2:$B$201,B49)</f>
        <v/>
      </c>
      <c r="P49">
        <f>VLOOKUP(B49,Products!$A$2:$B$6,2,FALSE)</f>
        <v/>
      </c>
      <c r="Q49">
        <f>Q48+F49</f>
        <v/>
      </c>
    </row>
    <row r="50">
      <c r="A50" t="inlineStr">
        <is>
          <t>East</t>
        </is>
      </c>
      <c r="B50" t="inlineStr">
        <is>
          <t>Gizmo</t>
        </is>
      </c>
      <c r="C50" t="n">
        <v>30</v>
      </c>
      <c r="D50" t="n">
        <v>6.73</v>
      </c>
      <c r="E50" t="n">
        <v>0.15</v>
      </c>
      <c r="F50">
        <f>C50*D50*(1-E50)</f>
        <v/>
      </c>
      <c r="G50">
        <f>F50*TaxRate</f>
        <v/>
      </c>
      <c r="H50">
        <f>IF(F50&gt;=Assumptions!$B$2,"High",IF(F50&gt;=Assumptions!$B$2/5,"Mid","Low"))</f>
        <v/>
      </c>
      <c r="I50">
        <f>F50/SUM($F$2:$F$201)</f>
        <v/>
      </c>
      <c r="J50">
        <f>SUMIF($A$2:$A$201,A50,$F$2:$F$201)</f>
        <v/>
      </c>
      <c r="K50">
        <f>F50/J50</f>
        <v/>
      </c>
      <c r="L50">
        <f>A50&amp;"-"&amp;B50&amp;" x"&amp;C50</f>
        <v/>
      </c>
      <c r="M50">
        <f>IFERROR(ROUND((F50-G50)/F50,4),0)</f>
        <v/>
      </c>
      <c r="N50">
        <f>UPPER(LEFT(B50,3))&amp;MOD(C50,7)</f>
        <v/>
      </c>
      <c r="O50">
        <f>SUMIFS($C$2:$C$201,$A$2:$A$201,A50,$B$2:$B$201,B50)</f>
        <v/>
      </c>
      <c r="P50">
        <f>VLOOKUP(B50,Products!$A$2:$B$6,2,FALSE)</f>
        <v/>
      </c>
      <c r="Q50">
        <f>Q49+F50</f>
        <v/>
      </c>
    </row>
    <row r="51">
      <c r="A51" t="inlineStr">
        <is>
          <t>North</t>
        </is>
      </c>
      <c r="B51" t="inlineStr">
        <is>
          <t>Doohickey</t>
        </is>
      </c>
      <c r="C51" t="n">
        <v>51</v>
      </c>
      <c r="D51" t="n">
        <v>111.98</v>
      </c>
      <c r="E51" t="n">
        <v>0.05</v>
      </c>
      <c r="F51">
        <f>C51*D51*(1-E51)</f>
        <v/>
      </c>
      <c r="G51">
        <f>F51*TaxRate</f>
        <v/>
      </c>
      <c r="H51">
        <f>IF(F51&gt;=Assumptions!$B$2,"High",IF(F51&gt;=Assumptions!$B$2/5,"Mid","Low"))</f>
        <v/>
      </c>
      <c r="I51">
        <f>F51/SUM($F$2:$F$201)</f>
        <v/>
      </c>
      <c r="J51">
        <f>SUMIF($A$2:$A$201,A51,$F$2:$F$201)</f>
        <v/>
      </c>
      <c r="K51">
        <f>F51/J51</f>
        <v/>
      </c>
      <c r="L51">
        <f>A51&amp;"-"&amp;B51&amp;" x"&amp;C51</f>
        <v/>
      </c>
      <c r="M51">
        <f>IFERROR(ROUND((F51-G51)/F51,4),0)</f>
        <v/>
      </c>
      <c r="N51">
        <f>UPPER(LEFT(B51,3))&amp;MOD(C51,7)</f>
        <v/>
      </c>
      <c r="O51">
        <f>SUMIFS($C$2:$C$201,$A$2:$A$201,A51,$B$2:$B$201,B51)</f>
        <v/>
      </c>
      <c r="P51">
        <f>VLOOKUP(B51,Products!$A$2:$B$6,2,FALSE)</f>
        <v/>
      </c>
      <c r="Q51">
        <f>Q50+F51</f>
        <v/>
      </c>
    </row>
    <row r="52">
      <c r="A52" t="inlineStr">
        <is>
          <t>North</t>
        </is>
      </c>
      <c r="B52" t="inlineStr">
        <is>
          <t>Widget</t>
        </is>
      </c>
      <c r="C52" t="n">
        <v>14</v>
      </c>
      <c r="D52" t="n">
        <v>11.01</v>
      </c>
      <c r="E52" t="n">
        <v>0.1</v>
      </c>
      <c r="F52">
        <f>C52*D52*(1-E52)</f>
        <v/>
      </c>
      <c r="G52">
        <f>F52*TaxRate</f>
        <v/>
      </c>
      <c r="H52">
        <f>IF(F52&gt;=Assumptions!$B$2,"High",IF(F52&gt;=Assumptions!$B$2/5,"Mid","Low"))</f>
        <v/>
      </c>
      <c r="I52">
        <f>F52/SUM($F$2:$F$201)</f>
        <v/>
      </c>
      <c r="J52">
        <f>SUMIF($A$2:$A$201,A52,$F$2:$F$201)</f>
        <v/>
      </c>
      <c r="K52">
        <f>F52/J52</f>
        <v/>
      </c>
      <c r="L52">
        <f>A52&amp;"-"&amp;B52&amp;" x"&amp;C52</f>
        <v/>
      </c>
      <c r="M52">
        <f>IFERROR(ROUND((F52-G52)/F52,4),0)</f>
        <v/>
      </c>
      <c r="N52">
        <f>UPPER(LEFT(B52,3))&amp;MOD(C52,7)</f>
        <v/>
      </c>
      <c r="O52">
        <f>SUMIFS($C$2:$C$201,$A$2:$A$201,A52,$B$2:$B$201,B52)</f>
        <v/>
      </c>
      <c r="P52">
        <f>VLOOKUP(B52,Products!$A$2:$B$6,2,FALSE)</f>
        <v/>
      </c>
      <c r="Q52">
        <f>Q51+F52</f>
        <v/>
      </c>
    </row>
    <row r="53">
      <c r="A53" t="inlineStr">
        <is>
          <t>West</t>
        </is>
      </c>
      <c r="B53" t="inlineStr">
        <is>
          <t>Gizmo</t>
        </is>
      </c>
      <c r="C53" t="n">
        <v>13</v>
      </c>
      <c r="D53" t="n">
        <v>7.21</v>
      </c>
      <c r="E53" t="n">
        <v>0.15</v>
      </c>
      <c r="F53">
        <f>C53*D53*(1-E53)</f>
        <v/>
      </c>
      <c r="G53">
        <f>F53*TaxRate</f>
        <v/>
      </c>
      <c r="H53">
        <f>IF(F53&gt;=Assumptions!$B$2,"High",IF(F53&gt;=Assumptions!$B$2/5,"Mid","Low"))</f>
        <v/>
      </c>
      <c r="I53">
        <f>F53/SUM($F$2:$F$201)</f>
        <v/>
      </c>
      <c r="J53">
        <f>SUMIF($A$2:$A$201,A53,$F$2:$F$201)</f>
        <v/>
      </c>
      <c r="K53">
        <f>F53/J53</f>
        <v/>
      </c>
      <c r="L53">
        <f>A53&amp;"-"&amp;B53&amp;" x"&amp;C53</f>
        <v/>
      </c>
      <c r="M53">
        <f>IFERROR(ROUND((F53-G53)/F53,4),0)</f>
        <v/>
      </c>
      <c r="N53">
        <f>UPPER(LEFT(B53,3))&amp;MOD(C53,7)</f>
        <v/>
      </c>
      <c r="O53">
        <f>SUMIFS($C$2:$C$201,$A$2:$A$201,A53,$B$2:$B$201,B53)</f>
        <v/>
      </c>
      <c r="P53">
        <f>VLOOKUP(B53,Products!$A$2:$B$6,2,FALSE)</f>
        <v/>
      </c>
      <c r="Q53">
        <f>Q52+F53</f>
        <v/>
      </c>
    </row>
    <row r="54">
      <c r="A54" t="inlineStr">
        <is>
          <t>East</t>
        </is>
      </c>
      <c r="B54" t="inlineStr">
        <is>
          <t>Doohickey</t>
        </is>
      </c>
      <c r="C54" t="n">
        <v>58</v>
      </c>
      <c r="D54" t="n">
        <v>103.54</v>
      </c>
      <c r="F54">
        <f>C54*D54*(1-E54)</f>
        <v/>
      </c>
      <c r="G54">
        <f>F54*TaxRate</f>
        <v/>
      </c>
      <c r="H54">
        <f>IF(F54&gt;=Assumptions!$B$2,"High",IF(F54&gt;=Assumptions!$B$2/5,"Mid","Low"))</f>
        <v/>
      </c>
      <c r="I54">
        <f>F54/SUM($F$2:$F$201)</f>
        <v/>
      </c>
      <c r="J54">
        <f>SUMIF($A$2:$A$201,A54,$F$2:$F$201)</f>
        <v/>
      </c>
      <c r="K54">
        <f>F54/J54</f>
        <v/>
      </c>
      <c r="L54">
        <f>A54&amp;"-"&amp;B54&amp;" x"&amp;C54</f>
        <v/>
      </c>
      <c r="M54">
        <f>IFERROR(ROUND((F54-G54)/F54,4),0)</f>
        <v/>
      </c>
      <c r="N54">
        <f>UPPER(LEFT(B54,3))&amp;MOD(C54,7)</f>
        <v/>
      </c>
      <c r="O54">
        <f>SUMIFS($C$2:$C$201,$A$2:$A$201,A54,$B$2:$B$201,B54)</f>
        <v/>
      </c>
      <c r="P54">
        <f>VLOOKUP(B54,Products!$A$2:$B$6,2,FALSE)</f>
        <v/>
      </c>
      <c r="Q54">
        <f>Q53+F54</f>
        <v/>
      </c>
    </row>
    <row r="55">
      <c r="A55" t="inlineStr">
        <is>
          <t>East</t>
        </is>
      </c>
      <c r="B55" t="inlineStr">
        <is>
          <t>Doohickey</t>
        </is>
      </c>
      <c r="C55" t="n">
        <v>50</v>
      </c>
      <c r="D55" t="n">
        <v>105.28</v>
      </c>
      <c r="E55" t="n">
        <v>0</v>
      </c>
      <c r="F55">
        <f>C55*D55*(1-E55)</f>
        <v/>
      </c>
      <c r="G55">
        <f>F55*TaxRate</f>
        <v/>
      </c>
      <c r="H55">
        <f>IF(F55&gt;=Assumptions!$B$2,"High",IF(F55&gt;=Assumptions!$B$2/5,"Mid","Low"))</f>
        <v/>
      </c>
      <c r="I55">
        <f>F55/SUM($F$2:$F$201)</f>
        <v/>
      </c>
      <c r="J55">
        <f>SUMIF($A$2:$A$201,A55,$F$2:$F$201)</f>
        <v/>
      </c>
      <c r="K55">
        <f>F55/J55</f>
        <v/>
      </c>
      <c r="L55">
        <f>A55&amp;"-"&amp;B55&amp;" x"&amp;C55</f>
        <v/>
      </c>
      <c r="M55">
        <f>IFERROR(ROUND((F55-G55)/F55,4),0)</f>
        <v/>
      </c>
      <c r="N55">
        <f>UPPER(LEFT(B55,3))&amp;MOD(C55,7)</f>
        <v/>
      </c>
      <c r="O55">
        <f>SUMIFS($C$2:$C$201,$A$2:$A$201,A55,$B$2:$B$201,B55)</f>
        <v/>
      </c>
      <c r="P55">
        <f>VLOOKUP(B55,Products!$A$2:$B$6,2,FALSE)</f>
        <v/>
      </c>
      <c r="Q55">
        <f>Q54+F55</f>
        <v/>
      </c>
    </row>
    <row r="56">
      <c r="A56" t="inlineStr">
        <is>
          <t>South</t>
        </is>
      </c>
      <c r="B56" t="inlineStr">
        <is>
          <t>Gadget</t>
        </is>
      </c>
      <c r="C56" t="n">
        <v>27</v>
      </c>
      <c r="D56" t="n">
        <v>43.47</v>
      </c>
      <c r="E56" t="n">
        <v>0.05</v>
      </c>
      <c r="F56">
        <f>C56*D56*(1-E56)</f>
        <v/>
      </c>
      <c r="G56">
        <f>F56*TaxRate</f>
        <v/>
      </c>
      <c r="H56">
        <f>IF(F56&gt;=Assumptions!$B$2,"High",IF(F56&gt;=Assumptions!$B$2/5,"Mid","Low"))</f>
        <v/>
      </c>
      <c r="I56">
        <f>F56/SUM($F$2:$F$201)</f>
        <v/>
      </c>
      <c r="J56">
        <f>SUMIF($A$2:$A$201,A56,$F$2:$F$201)</f>
        <v/>
      </c>
      <c r="K56">
        <f>F56/J56</f>
        <v/>
      </c>
      <c r="L56">
        <f>A56&amp;"-"&amp;B56&amp;" x"&amp;C56</f>
        <v/>
      </c>
      <c r="M56">
        <f>IFERROR(ROUND((F56-G56)/F56,4),0)</f>
        <v/>
      </c>
      <c r="N56">
        <f>UPPER(LEFT(B56,3))&amp;MOD(C56,7)</f>
        <v/>
      </c>
      <c r="O56">
        <f>SUMIFS($C$2:$C$201,$A$2:$A$201,A56,$B$2:$B$201,B56)</f>
        <v/>
      </c>
      <c r="P56">
        <f>VLOOKUP(B56,Products!$A$2:$B$6,2,FALSE)</f>
        <v/>
      </c>
      <c r="Q56">
        <f>Q55+F56</f>
        <v/>
      </c>
    </row>
    <row r="57">
      <c r="A57" t="inlineStr">
        <is>
          <t>East</t>
        </is>
      </c>
      <c r="B57" t="inlineStr">
        <is>
          <t>Doohickey</t>
        </is>
      </c>
      <c r="C57" t="n">
        <v>29</v>
      </c>
      <c r="D57" t="n">
        <v>96.06999999999999</v>
      </c>
      <c r="F57">
        <f>C57*D57*(1-E57)</f>
        <v/>
      </c>
      <c r="G57">
        <f>F57*TaxRate</f>
        <v/>
      </c>
      <c r="H57">
        <f>IF(F57&gt;=Assumptions!$B$2,"High",IF(F57&gt;=Assumptions!$B$2/5,"Mid","Low"))</f>
        <v/>
      </c>
      <c r="I57">
        <f>F57/SUM($F$2:$F$201)</f>
        <v/>
      </c>
      <c r="J57">
        <f>SUMIF($A$2:$A$201,A57,$F$2:$F$201)</f>
        <v/>
      </c>
      <c r="K57">
        <f>F57/J57</f>
        <v/>
      </c>
      <c r="L57">
        <f>A57&amp;"-"&amp;B57&amp;" x"&amp;C57</f>
        <v/>
      </c>
      <c r="M57">
        <f>IFERROR(ROUND((F57-G57)/F57,4),0)</f>
        <v/>
      </c>
      <c r="N57">
        <f>UPPER(LEFT(B57,3))&amp;MOD(C57,7)</f>
        <v/>
      </c>
      <c r="O57">
        <f>SUMIFS($C$2:$C$201,$A$2:$A$201,A57,$B$2:$B$201,B57)</f>
        <v/>
      </c>
      <c r="P57">
        <f>VLOOKUP(B57,Products!$A$2:$B$6,2,FALSE)</f>
        <v/>
      </c>
      <c r="Q57">
        <f>Q56+F57</f>
        <v/>
      </c>
    </row>
    <row r="58">
      <c r="A58" t="inlineStr">
        <is>
          <t>West</t>
        </is>
      </c>
      <c r="B58" t="inlineStr">
        <is>
          <t>Gadget</t>
        </is>
      </c>
      <c r="C58" t="n">
        <v>8</v>
      </c>
      <c r="D58" t="n">
        <v>34.33</v>
      </c>
      <c r="E58" t="n">
        <v>0.15</v>
      </c>
      <c r="F58">
        <f>C58*D58*(1-E58)</f>
        <v/>
      </c>
      <c r="G58">
        <f>F58*TaxRate</f>
        <v/>
      </c>
      <c r="H58">
        <f>IF(F58&gt;=Assumptions!$B$2,"High",IF(F58&gt;=Assumptions!$B$2/5,"Mid","Low"))</f>
        <v/>
      </c>
      <c r="I58">
        <f>F58/SUM($F$2:$F$201)</f>
        <v/>
      </c>
      <c r="J58">
        <f>SUMIF($A$2:$A$201,A58,$F$2:$F$201)</f>
        <v/>
      </c>
      <c r="K58">
        <f>F58/J58</f>
        <v/>
      </c>
      <c r="L58">
        <f>A58&amp;"-"&amp;B58&amp;" x"&amp;C58</f>
        <v/>
      </c>
      <c r="M58">
        <f>IFERROR(ROUND((F58-G58)/F58,4),0)</f>
        <v/>
      </c>
      <c r="N58">
        <f>UPPER(LEFT(B58,3))&amp;MOD(C58,7)</f>
        <v/>
      </c>
      <c r="O58">
        <f>SUMIFS($C$2:$C$201,$A$2:$A$201,A58,$B$2:$B$201,B58)</f>
        <v/>
      </c>
      <c r="P58">
        <f>VLOOKUP(B58,Products!$A$2:$B$6,2,FALSE)</f>
        <v/>
      </c>
      <c r="Q58">
        <f>Q57+F58</f>
        <v/>
      </c>
    </row>
    <row r="59">
      <c r="A59" t="inlineStr">
        <is>
          <t>South</t>
        </is>
      </c>
      <c r="B59" t="inlineStr">
        <is>
          <t>Gadget</t>
        </is>
      </c>
      <c r="C59" t="n">
        <v>39</v>
      </c>
      <c r="D59" t="n">
        <v>43.92</v>
      </c>
      <c r="E59" t="n">
        <v>0.1</v>
      </c>
      <c r="F59">
        <f>C59*D59*(1-E59)</f>
        <v/>
      </c>
      <c r="G59">
        <f>F59*TaxRate</f>
        <v/>
      </c>
      <c r="H59">
        <f>IF(F59&gt;=Assumptions!$B$2,"High",IF(F59&gt;=Assumptions!$B$2/5,"Mid","Low"))</f>
        <v/>
      </c>
      <c r="I59">
        <f>F59/SUM($F$2:$F$201)</f>
        <v/>
      </c>
      <c r="J59">
        <f>SUMIF($A$2:$A$201,A59,$F$2:$F$201)</f>
        <v/>
      </c>
      <c r="K59">
        <f>F59/J59</f>
        <v/>
      </c>
      <c r="L59">
        <f>A59&amp;"-"&amp;B59&amp;" x"&amp;C59</f>
        <v/>
      </c>
      <c r="M59">
        <f>IFERROR(ROUND((F59-G59)/F59,4),0)</f>
        <v/>
      </c>
      <c r="N59">
        <f>UPPER(LEFT(B59,3))&amp;MOD(C59,7)</f>
        <v/>
      </c>
      <c r="O59">
        <f>SUMIFS($C$2:$C$201,$A$2:$A$201,A59,$B$2:$B$201,B59)</f>
        <v/>
      </c>
      <c r="P59">
        <f>VLOOKUP(B59,Products!$A$2:$B$6,2,FALSE)</f>
        <v/>
      </c>
      <c r="Q59">
        <f>Q58+F59</f>
        <v/>
      </c>
    </row>
    <row r="60">
      <c r="A60" t="inlineStr">
        <is>
          <t>North</t>
        </is>
      </c>
      <c r="B60" t="inlineStr">
        <is>
          <t>Gadget</t>
        </is>
      </c>
      <c r="C60" t="n">
        <v>35</v>
      </c>
      <c r="D60" t="n">
        <v>40.58</v>
      </c>
      <c r="F60">
        <f>C60*D60*(1-E60)</f>
        <v/>
      </c>
      <c r="G60">
        <f>F60*TaxRate</f>
        <v/>
      </c>
      <c r="H60">
        <f>IF(F60&gt;=Assumptions!$B$2,"High",IF(F60&gt;=Assumptions!$B$2/5,"Mid","Low"))</f>
        <v/>
      </c>
      <c r="I60">
        <f>F60/SUM($F$2:$F$201)</f>
        <v/>
      </c>
      <c r="J60">
        <f>SUMIF($A$2:$A$201,A60,$F$2:$F$201)</f>
        <v/>
      </c>
      <c r="K60">
        <f>F60/J60</f>
        <v/>
      </c>
      <c r="L60">
        <f>A60&amp;"-"&amp;B60&amp;" x"&amp;C60</f>
        <v/>
      </c>
      <c r="M60">
        <f>IFERROR(ROUND((F60-G60)/F60,4),0)</f>
        <v/>
      </c>
      <c r="N60">
        <f>UPPER(LEFT(B60,3))&amp;MOD(C60,7)</f>
        <v/>
      </c>
      <c r="O60">
        <f>SUMIFS($C$2:$C$201,$A$2:$A$201,A60,$B$2:$B$201,B60)</f>
        <v/>
      </c>
      <c r="P60">
        <f>VLOOKUP(B60,Products!$A$2:$B$6,2,FALSE)</f>
        <v/>
      </c>
      <c r="Q60">
        <f>Q59+F60</f>
        <v/>
      </c>
    </row>
    <row r="61">
      <c r="A61" t="inlineStr">
        <is>
          <t>East</t>
        </is>
      </c>
      <c r="B61" t="inlineStr">
        <is>
          <t>Widget</t>
        </is>
      </c>
      <c r="C61" t="n">
        <v>33</v>
      </c>
      <c r="D61" t="n">
        <v>13.44</v>
      </c>
      <c r="E61" t="n">
        <v>0</v>
      </c>
      <c r="F61">
        <f>C61*D61*(1-E61)</f>
        <v/>
      </c>
      <c r="G61">
        <f>F61*TaxRate</f>
        <v/>
      </c>
      <c r="H61">
        <f>IF(F61&gt;=Assumptions!$B$2,"High",IF(F61&gt;=Assumptions!$B$2/5,"Mid","Low"))</f>
        <v/>
      </c>
      <c r="I61">
        <f>F61/SUM($F$2:$F$201)</f>
        <v/>
      </c>
      <c r="J61">
        <f>SUMIF($A$2:$A$201,A61,$F$2:$F$201)</f>
        <v/>
      </c>
      <c r="K61">
        <f>F61/J61</f>
        <v/>
      </c>
      <c r="L61">
        <f>A61&amp;"-"&amp;B61&amp;" x"&amp;C61</f>
        <v/>
      </c>
      <c r="M61">
        <f>IFERROR(ROUND((F61-G61)/F61,4),0)</f>
        <v/>
      </c>
      <c r="N61">
        <f>UPPER(LEFT(B61,3))&amp;MOD(C61,7)</f>
        <v/>
      </c>
      <c r="O61">
        <f>SUMIFS($C$2:$C$201,$A$2:$A$201,A61,$B$2:$B$201,B61)</f>
        <v/>
      </c>
      <c r="P61">
        <f>VLOOKUP(B61,Products!$A$2:$B$6,2,FALSE)</f>
        <v/>
      </c>
      <c r="Q61">
        <f>Q60+F61</f>
        <v/>
      </c>
    </row>
    <row r="62">
      <c r="A62" t="inlineStr">
        <is>
          <t>South</t>
        </is>
      </c>
      <c r="B62" t="inlineStr">
        <is>
          <t>Gadget</t>
        </is>
      </c>
      <c r="C62" t="n">
        <v>52</v>
      </c>
      <c r="D62" t="n">
        <v>44.49</v>
      </c>
      <c r="F62">
        <f>C62*D62*(1-E62)</f>
        <v/>
      </c>
      <c r="G62">
        <f>F62*TaxRate</f>
        <v/>
      </c>
      <c r="H62">
        <f>IF(F62&gt;=Assumptions!$B$2,"High",IF(F62&gt;=Assumptions!$B$2/5,"Mid","Low"))</f>
        <v/>
      </c>
      <c r="I62">
        <f>F62/SUM($F$2:$F$201)</f>
        <v/>
      </c>
      <c r="J62">
        <f>SUMIF($A$2:$A$201,A62,$F$2:$F$201)</f>
        <v/>
      </c>
      <c r="K62">
        <f>F62/J62</f>
        <v/>
      </c>
      <c r="L62">
        <f>A62&amp;"-"&amp;B62&amp;" x"&amp;C62</f>
        <v/>
      </c>
      <c r="M62">
        <f>IFERROR(ROUND((F62-G62)/F62,4),0)</f>
        <v/>
      </c>
      <c r="N62">
        <f>UPPER(LEFT(B62,3))&amp;MOD(C62,7)</f>
        <v/>
      </c>
      <c r="O62">
        <f>SUMIFS($C$2:$C$201,$A$2:$A$201,A62,$B$2:$B$201,B62)</f>
        <v/>
      </c>
      <c r="P62">
        <f>VLOOKUP(B62,Products!$A$2:$B$6,2,FALSE)</f>
        <v/>
      </c>
      <c r="Q62">
        <f>Q61+F62</f>
        <v/>
      </c>
    </row>
    <row r="63">
      <c r="A63" t="inlineStr">
        <is>
          <t>North</t>
        </is>
      </c>
      <c r="B63" t="inlineStr">
        <is>
          <t>Gadget</t>
        </is>
      </c>
      <c r="C63" t="n">
        <v>18</v>
      </c>
      <c r="D63" t="n">
        <v>40.01</v>
      </c>
      <c r="E63" t="n">
        <v>0.15</v>
      </c>
      <c r="F63">
        <f>C63*D63*(1-E63)</f>
        <v/>
      </c>
      <c r="G63">
        <f>F63*TaxRate</f>
        <v/>
      </c>
      <c r="H63">
        <f>IF(F63&gt;=Assumptions!$B$2,"High",IF(F63&gt;=Assumptions!$B$2/5,"Mid","Low"))</f>
        <v/>
      </c>
      <c r="I63">
        <f>F63/SUM($F$2:$F$201)</f>
        <v/>
      </c>
      <c r="J63">
        <f>SUMIF($A$2:$A$201,A63,$F$2:$F$201)</f>
        <v/>
      </c>
      <c r="K63">
        <f>F63/J63</f>
        <v/>
      </c>
      <c r="L63">
        <f>A63&amp;"-"&amp;B63&amp;" x"&amp;C63</f>
        <v/>
      </c>
      <c r="M63">
        <f>IFERROR(ROUND((F63-G63)/F63,4),0)</f>
        <v/>
      </c>
      <c r="N63">
        <f>UPPER(LEFT(B63,3))&amp;MOD(C63,7)</f>
        <v/>
      </c>
      <c r="O63">
        <f>SUMIFS($C$2:$C$201,$A$2:$A$201,A63,$B$2:$B$201,B63)</f>
        <v/>
      </c>
      <c r="P63">
        <f>VLOOKUP(B63,Products!$A$2:$B$6,2,FALSE)</f>
        <v/>
      </c>
      <c r="Q63">
        <f>Q62+F63</f>
        <v/>
      </c>
    </row>
    <row r="64">
      <c r="A64" t="inlineStr">
        <is>
          <t>North</t>
        </is>
      </c>
      <c r="B64" t="inlineStr">
        <is>
          <t>Gizmo</t>
        </is>
      </c>
      <c r="C64" t="n">
        <v>34</v>
      </c>
      <c r="D64" t="n">
        <v>7.07</v>
      </c>
      <c r="E64" t="n">
        <v>0</v>
      </c>
      <c r="F64">
        <f>C64*D64*(1-E64)</f>
        <v/>
      </c>
      <c r="G64">
        <f>F64*TaxRate</f>
        <v/>
      </c>
      <c r="H64">
        <f>IF(F64&gt;=Assumptions!$B$2,"High",IF(F64&gt;=Assumptions!$B$2/5,"Mid","Low"))</f>
        <v/>
      </c>
      <c r="I64">
        <f>F64/SUM($F$2:$F$201)</f>
        <v/>
      </c>
      <c r="J64">
        <f>SUMIF($A$2:$A$201,A64,$F$2:$F$201)</f>
        <v/>
      </c>
      <c r="K64">
        <f>F64/J64</f>
        <v/>
      </c>
      <c r="L64">
        <f>A64&amp;"-"&amp;B64&amp;" x"&amp;C64</f>
        <v/>
      </c>
      <c r="M64">
        <f>IFERROR(ROUND((F64-G64)/F64,4),0)</f>
        <v/>
      </c>
      <c r="N64">
        <f>UPPER(LEFT(B64,3))&amp;MOD(C64,7)</f>
        <v/>
      </c>
      <c r="O64">
        <f>SUMIFS($C$2:$C$201,$A$2:$A$201,A64,$B$2:$B$201,B64)</f>
        <v/>
      </c>
      <c r="P64">
        <f>VLOOKUP(B64,Products!$A$2:$B$6,2,FALSE)</f>
        <v/>
      </c>
      <c r="Q64">
        <f>Q63+F64</f>
        <v/>
      </c>
    </row>
    <row r="65">
      <c r="A65" t="inlineStr">
        <is>
          <t>East</t>
        </is>
      </c>
      <c r="B65" t="inlineStr">
        <is>
          <t>Gizmo</t>
        </is>
      </c>
      <c r="C65" t="n">
        <v>57</v>
      </c>
      <c r="D65" t="n">
        <v>7.16</v>
      </c>
      <c r="E65" t="n">
        <v>0.15</v>
      </c>
      <c r="F65">
        <f>C65*D65*(1-E65)</f>
        <v/>
      </c>
      <c r="G65">
        <f>F65*TaxRate</f>
        <v/>
      </c>
      <c r="H65">
        <f>IF(F65&gt;=Assumptions!$B$2,"High",IF(F65&gt;=Assumptions!$B$2/5,"Mid","Low"))</f>
        <v/>
      </c>
      <c r="I65">
        <f>F65/SUM($F$2:$F$201)</f>
        <v/>
      </c>
      <c r="J65">
        <f>SUMIF($A$2:$A$201,A65,$F$2:$F$201)</f>
        <v/>
      </c>
      <c r="K65">
        <f>F65/J65</f>
        <v/>
      </c>
      <c r="L65">
        <f>A65&amp;"-"&amp;B65&amp;" x"&amp;C65</f>
        <v/>
      </c>
      <c r="M65">
        <f>IFERROR(ROUND((F65-G65)/F65,4),0)</f>
        <v/>
      </c>
      <c r="N65">
        <f>UPPER(LEFT(B65,3))&amp;MOD(C65,7)</f>
        <v/>
      </c>
      <c r="O65">
        <f>SUMIFS($C$2:$C$201,$A$2:$A$201,A65,$B$2:$B$201,B65)</f>
        <v/>
      </c>
      <c r="P65">
        <f>VLOOKUP(B65,Products!$A$2:$B$6,2,FALSE)</f>
        <v/>
      </c>
      <c r="Q65">
        <f>Q64+F65</f>
        <v/>
      </c>
    </row>
    <row r="66">
      <c r="A66" t="inlineStr">
        <is>
          <t>Central</t>
        </is>
      </c>
      <c r="B66" t="inlineStr">
        <is>
          <t>Doohickey</t>
        </is>
      </c>
      <c r="C66" t="n">
        <v>52</v>
      </c>
      <c r="D66" t="n">
        <v>111.41</v>
      </c>
      <c r="E66" t="n">
        <v>0.15</v>
      </c>
      <c r="F66">
        <f>C66*D66*(1-E66)</f>
        <v/>
      </c>
      <c r="G66">
        <f>F66*TaxRate</f>
        <v/>
      </c>
      <c r="H66">
        <f>IF(F66&gt;=Assumptions!$B$2,"High",IF(F66&gt;=Assumptions!$B$2/5,"Mid","Low"))</f>
        <v/>
      </c>
      <c r="I66">
        <f>F66/SUM($F$2:$F$201)</f>
        <v/>
      </c>
      <c r="J66">
        <f>SUMIF($A$2:$A$201,A66,$F$2:$F$201)</f>
        <v/>
      </c>
      <c r="K66">
        <f>F66/J66</f>
        <v/>
      </c>
      <c r="L66">
        <f>A66&amp;"-"&amp;B66&amp;" x"&amp;C66</f>
        <v/>
      </c>
      <c r="M66">
        <f>IFERROR(ROUND((F66-G66)/F66,4),0)</f>
        <v/>
      </c>
      <c r="N66">
        <f>UPPER(LEFT(B66,3))&amp;MOD(C66,7)</f>
        <v/>
      </c>
      <c r="O66">
        <f>SUMIFS($C$2:$C$201,$A$2:$A$201,A66,$B$2:$B$201,B66)</f>
        <v/>
      </c>
      <c r="P66">
        <f>VLOOKUP(B66,Products!$A$2:$B$6,2,FALSE)</f>
        <v/>
      </c>
      <c r="Q66">
        <f>Q65+F66</f>
        <v/>
      </c>
    </row>
    <row r="67">
      <c r="A67" t="inlineStr">
        <is>
          <t>West</t>
        </is>
      </c>
      <c r="B67" t="inlineStr">
        <is>
          <t>Sprocket</t>
        </is>
      </c>
      <c r="C67" t="n">
        <v>9</v>
      </c>
      <c r="D67" t="n">
        <v>3.12</v>
      </c>
      <c r="F67">
        <f>C67*D67*(1-E67)</f>
        <v/>
      </c>
      <c r="G67">
        <f>F67*TaxRate</f>
        <v/>
      </c>
      <c r="H67">
        <f>IF(F67&gt;=Assumptions!$B$2,"High",IF(F67&gt;=Assumptions!$B$2/5,"Mid","Low"))</f>
        <v/>
      </c>
      <c r="I67">
        <f>F67/SUM($F$2:$F$201)</f>
        <v/>
      </c>
      <c r="J67">
        <f>SUMIF($A$2:$A$201,A67,$F$2:$F$201)</f>
        <v/>
      </c>
      <c r="K67">
        <f>F67/J67</f>
        <v/>
      </c>
      <c r="L67">
        <f>A67&amp;"-"&amp;B67&amp;" x"&amp;C67</f>
        <v/>
      </c>
      <c r="M67">
        <f>IFERROR(ROUND((F67-G67)/F67,4),0)</f>
        <v/>
      </c>
      <c r="N67">
        <f>UPPER(LEFT(B67,3))&amp;MOD(C67,7)</f>
        <v/>
      </c>
      <c r="O67">
        <f>SUMIFS($C$2:$C$201,$A$2:$A$201,A67,$B$2:$B$201,B67)</f>
        <v/>
      </c>
      <c r="P67">
        <f>VLOOKUP(B67,Products!$A$2:$B$6,2,FALSE)</f>
        <v/>
      </c>
      <c r="Q67">
        <f>Q66+F67</f>
        <v/>
      </c>
    </row>
    <row r="68">
      <c r="A68" t="inlineStr">
        <is>
          <t>South</t>
        </is>
      </c>
      <c r="B68" t="inlineStr">
        <is>
          <t>Gadget</t>
        </is>
      </c>
      <c r="C68" t="n">
        <v>38</v>
      </c>
      <c r="D68" t="n">
        <v>34.05</v>
      </c>
      <c r="E68" t="n">
        <v>0</v>
      </c>
      <c r="F68">
        <f>C68*D68*(1-E68)</f>
        <v/>
      </c>
      <c r="G68">
        <f>F68*TaxRate</f>
        <v/>
      </c>
      <c r="H68">
        <f>IF(F68&gt;=Assumptions!$B$2,"High",IF(F68&gt;=Assumptions!$B$2/5,"Mid","Low"))</f>
        <v/>
      </c>
      <c r="I68">
        <f>F68/SUM($F$2:$F$201)</f>
        <v/>
      </c>
      <c r="J68">
        <f>SUMIF($A$2:$A$201,A68,$F$2:$F$201)</f>
        <v/>
      </c>
      <c r="K68">
        <f>F68/J68</f>
        <v/>
      </c>
      <c r="L68">
        <f>A68&amp;"-"&amp;B68&amp;" x"&amp;C68</f>
        <v/>
      </c>
      <c r="M68">
        <f>IFERROR(ROUND((F68-G68)/F68,4),0)</f>
        <v/>
      </c>
      <c r="N68">
        <f>UPPER(LEFT(B68,3))&amp;MOD(C68,7)</f>
        <v/>
      </c>
      <c r="O68">
        <f>SUMIFS($C$2:$C$201,$A$2:$A$201,A68,$B$2:$B$201,B68)</f>
        <v/>
      </c>
      <c r="P68">
        <f>VLOOKUP(B68,Products!$A$2:$B$6,2,FALSE)</f>
        <v/>
      </c>
      <c r="Q68">
        <f>Q67+F68</f>
        <v/>
      </c>
    </row>
    <row r="69">
      <c r="A69" t="inlineStr">
        <is>
          <t>West</t>
        </is>
      </c>
      <c r="B69" t="inlineStr">
        <is>
          <t>Gadget</t>
        </is>
      </c>
      <c r="C69" t="n">
        <v>30</v>
      </c>
      <c r="D69" t="n">
        <v>41.43</v>
      </c>
      <c r="F69">
        <f>C69*D69*(1-E69)</f>
        <v/>
      </c>
      <c r="G69">
        <f>F69*TaxRate</f>
        <v/>
      </c>
      <c r="H69">
        <f>IF(F69&gt;=Assumptions!$B$2,"High",IF(F69&gt;=Assumptions!$B$2/5,"Mid","Low"))</f>
        <v/>
      </c>
      <c r="I69">
        <f>F69/SUM($F$2:$F$201)</f>
        <v/>
      </c>
      <c r="J69">
        <f>SUMIF($A$2:$A$201,A69,$F$2:$F$201)</f>
        <v/>
      </c>
      <c r="K69">
        <f>F69/J69</f>
        <v/>
      </c>
      <c r="L69">
        <f>A69&amp;"-"&amp;B69&amp;" x"&amp;C69</f>
        <v/>
      </c>
      <c r="M69">
        <f>IFERROR(ROUND((F69-G69)/F69,4),0)</f>
        <v/>
      </c>
      <c r="N69">
        <f>UPPER(LEFT(B69,3))&amp;MOD(C69,7)</f>
        <v/>
      </c>
      <c r="O69">
        <f>SUMIFS($C$2:$C$201,$A$2:$A$201,A69,$B$2:$B$201,B69)</f>
        <v/>
      </c>
      <c r="P69">
        <f>VLOOKUP(B69,Products!$A$2:$B$6,2,FALSE)</f>
        <v/>
      </c>
      <c r="Q69">
        <f>Q68+F69</f>
        <v/>
      </c>
    </row>
    <row r="70">
      <c r="A70" t="inlineStr">
        <is>
          <t>Central</t>
        </is>
      </c>
      <c r="B70" t="inlineStr">
        <is>
          <t>Widget</t>
        </is>
      </c>
      <c r="C70" t="n">
        <v>20</v>
      </c>
      <c r="D70" t="n">
        <v>13.18</v>
      </c>
      <c r="E70" t="n">
        <v>0.15</v>
      </c>
      <c r="F70">
        <f>C70*D70*(1-E70)</f>
        <v/>
      </c>
      <c r="G70">
        <f>F70*TaxRate</f>
        <v/>
      </c>
      <c r="H70">
        <f>IF(F70&gt;=Assumptions!$B$2,"High",IF(F70&gt;=Assumptions!$B$2/5,"Mid","Low"))</f>
        <v/>
      </c>
      <c r="I70">
        <f>F70/SUM($F$2:$F$201)</f>
        <v/>
      </c>
      <c r="J70">
        <f>SUMIF($A$2:$A$201,A70,$F$2:$F$201)</f>
        <v/>
      </c>
      <c r="K70">
        <f>F70/J70</f>
        <v/>
      </c>
      <c r="L70">
        <f>A70&amp;"-"&amp;B70&amp;" x"&amp;C70</f>
        <v/>
      </c>
      <c r="M70">
        <f>IFERROR(ROUND((F70-G70)/F70,4),0)</f>
        <v/>
      </c>
      <c r="N70">
        <f>UPPER(LEFT(B70,3))&amp;MOD(C70,7)</f>
        <v/>
      </c>
      <c r="O70">
        <f>SUMIFS($C$2:$C$201,$A$2:$A$201,A70,$B$2:$B$201,B70)</f>
        <v/>
      </c>
      <c r="P70">
        <f>VLOOKUP(B70,Products!$A$2:$B$6,2,FALSE)</f>
        <v/>
      </c>
      <c r="Q70">
        <f>Q69+F70</f>
        <v/>
      </c>
    </row>
    <row r="71">
      <c r="A71" t="inlineStr">
        <is>
          <t>Central</t>
        </is>
      </c>
      <c r="B71" t="inlineStr">
        <is>
          <t>Doohickey</t>
        </is>
      </c>
      <c r="C71" t="n">
        <v>50</v>
      </c>
      <c r="D71" t="n">
        <v>107.21</v>
      </c>
      <c r="E71" t="n">
        <v>0.15</v>
      </c>
      <c r="F71">
        <f>C71*D71*(1-E71)</f>
        <v/>
      </c>
      <c r="G71">
        <f>F71*TaxRate</f>
        <v/>
      </c>
      <c r="H71">
        <f>IF(F71&gt;=Assumptions!$B$2,"High",IF(F71&gt;=Assumptions!$B$2/5,"Mid","Low"))</f>
        <v/>
      </c>
      <c r="I71">
        <f>F71/SUM($F$2:$F$201)</f>
        <v/>
      </c>
      <c r="J71">
        <f>SUMIF($A$2:$A$201,A71,$F$2:$F$201)</f>
        <v/>
      </c>
      <c r="K71">
        <f>F71/J71</f>
        <v/>
      </c>
      <c r="L71">
        <f>A71&amp;"-"&amp;B71&amp;" x"&amp;C71</f>
        <v/>
      </c>
      <c r="M71">
        <f>IFERROR(ROUND((F71-G71)/F71,4),0)</f>
        <v/>
      </c>
      <c r="N71">
        <f>UPPER(LEFT(B71,3))&amp;MOD(C71,7)</f>
        <v/>
      </c>
      <c r="O71">
        <f>SUMIFS($C$2:$C$201,$A$2:$A$201,A71,$B$2:$B$201,B71)</f>
        <v/>
      </c>
      <c r="P71">
        <f>VLOOKUP(B71,Products!$A$2:$B$6,2,FALSE)</f>
        <v/>
      </c>
      <c r="Q71">
        <f>Q70+F71</f>
        <v/>
      </c>
    </row>
    <row r="72">
      <c r="A72" t="inlineStr">
        <is>
          <t>East</t>
        </is>
      </c>
      <c r="B72" t="inlineStr">
        <is>
          <t>Gadget</t>
        </is>
      </c>
      <c r="C72" t="n">
        <v>12</v>
      </c>
      <c r="D72" t="n">
        <v>37.32</v>
      </c>
      <c r="F72">
        <f>C72*D72*(1-E72)</f>
        <v/>
      </c>
      <c r="G72">
        <f>F72*TaxRate</f>
        <v/>
      </c>
      <c r="H72">
        <f>IF(F72&gt;=Assumptions!$B$2,"High",IF(F72&gt;=Assumptions!$B$2/5,"Mid","Low"))</f>
        <v/>
      </c>
      <c r="I72">
        <f>F72/SUM($F$2:$F$201)</f>
        <v/>
      </c>
      <c r="J72">
        <f>SUMIF($A$2:$A$201,A72,$F$2:$F$201)</f>
        <v/>
      </c>
      <c r="K72">
        <f>F72/J72</f>
        <v/>
      </c>
      <c r="L72">
        <f>A72&amp;"-"&amp;B72&amp;" x"&amp;C72</f>
        <v/>
      </c>
      <c r="M72">
        <f>IFERROR(ROUND((F72-G72)/F72,4),0)</f>
        <v/>
      </c>
      <c r="N72">
        <f>UPPER(LEFT(B72,3))&amp;MOD(C72,7)</f>
        <v/>
      </c>
      <c r="O72">
        <f>SUMIFS($C$2:$C$201,$A$2:$A$201,A72,$B$2:$B$201,B72)</f>
        <v/>
      </c>
      <c r="P72">
        <f>VLOOKUP(B72,Products!$A$2:$B$6,2,FALSE)</f>
        <v/>
      </c>
      <c r="Q72">
        <f>Q71+F72</f>
        <v/>
      </c>
    </row>
    <row r="73">
      <c r="A73" t="inlineStr">
        <is>
          <t>Central</t>
        </is>
      </c>
      <c r="B73" t="inlineStr">
        <is>
          <t>Doohickey</t>
        </is>
      </c>
      <c r="C73" t="n">
        <v>35</v>
      </c>
      <c r="D73" t="n">
        <v>84.98</v>
      </c>
      <c r="F73">
        <f>C73*D73*(1-E73)</f>
        <v/>
      </c>
      <c r="G73">
        <f>F73*TaxRate</f>
        <v/>
      </c>
      <c r="H73">
        <f>IF(F73&gt;=Assumptions!$B$2,"High",IF(F73&gt;=Assumptions!$B$2/5,"Mid","Low"))</f>
        <v/>
      </c>
      <c r="I73">
        <f>F73/SUM($F$2:$F$201)</f>
        <v/>
      </c>
      <c r="J73">
        <f>SUMIF($A$2:$A$201,A73,$F$2:$F$201)</f>
        <v/>
      </c>
      <c r="K73">
        <f>F73/J73</f>
        <v/>
      </c>
      <c r="L73">
        <f>A73&amp;"-"&amp;B73&amp;" x"&amp;C73</f>
        <v/>
      </c>
      <c r="M73">
        <f>IFERROR(ROUND((F73-G73)/F73,4),0)</f>
        <v/>
      </c>
      <c r="N73">
        <f>UPPER(LEFT(B73,3))&amp;MOD(C73,7)</f>
        <v/>
      </c>
      <c r="O73">
        <f>SUMIFS($C$2:$C$201,$A$2:$A$201,A73,$B$2:$B$201,B73)</f>
        <v/>
      </c>
      <c r="P73">
        <f>VLOOKUP(B73,Products!$A$2:$B$6,2,FALSE)</f>
        <v/>
      </c>
      <c r="Q73">
        <f>Q72+F73</f>
        <v/>
      </c>
    </row>
    <row r="74">
      <c r="A74" t="inlineStr">
        <is>
          <t>South</t>
        </is>
      </c>
      <c r="B74" t="inlineStr">
        <is>
          <t>Gizmo</t>
        </is>
      </c>
      <c r="C74" t="n">
        <v>39</v>
      </c>
      <c r="D74" t="n">
        <v>8.279999999999999</v>
      </c>
      <c r="E74" t="n">
        <v>0.15</v>
      </c>
      <c r="F74">
        <f>C74*D74*(1-E74)</f>
        <v/>
      </c>
      <c r="G74">
        <f>F74*TaxRate</f>
        <v/>
      </c>
      <c r="H74">
        <f>IF(F74&gt;=Assumptions!$B$2,"High",IF(F74&gt;=Assumptions!$B$2/5,"Mid","Low"))</f>
        <v/>
      </c>
      <c r="I74">
        <f>F74/SUM($F$2:$F$201)</f>
        <v/>
      </c>
      <c r="J74">
        <f>SUMIF($A$2:$A$201,A74,$F$2:$F$201)</f>
        <v/>
      </c>
      <c r="K74">
        <f>F74/J74</f>
        <v/>
      </c>
      <c r="L74">
        <f>A74&amp;"-"&amp;B74&amp;" x"&amp;C74</f>
        <v/>
      </c>
      <c r="M74">
        <f>IFERROR(ROUND((F74-G74)/F74,4),0)</f>
        <v/>
      </c>
      <c r="N74">
        <f>UPPER(LEFT(B74,3))&amp;MOD(C74,7)</f>
        <v/>
      </c>
      <c r="O74">
        <f>SUMIFS($C$2:$C$201,$A$2:$A$201,A74,$B$2:$B$201,B74)</f>
        <v/>
      </c>
      <c r="P74">
        <f>VLOOKUP(B74,Products!$A$2:$B$6,2,FALSE)</f>
        <v/>
      </c>
      <c r="Q74">
        <f>Q73+F74</f>
        <v/>
      </c>
    </row>
    <row r="75">
      <c r="A75" t="inlineStr">
        <is>
          <t>Central</t>
        </is>
      </c>
      <c r="B75" t="inlineStr">
        <is>
          <t>Gadget</t>
        </is>
      </c>
      <c r="C75" t="n">
        <v>44</v>
      </c>
      <c r="D75" t="n">
        <v>37.33</v>
      </c>
      <c r="E75" t="n">
        <v>0.15</v>
      </c>
      <c r="F75">
        <f>C75*D75*(1-E75)</f>
        <v/>
      </c>
      <c r="G75">
        <f>F75*TaxRate</f>
        <v/>
      </c>
      <c r="H75">
        <f>IF(F75&gt;=Assumptions!$B$2,"High",IF(F75&gt;=Assumptions!$B$2/5,"Mid","Low"))</f>
        <v/>
      </c>
      <c r="I75">
        <f>F75/SUM($F$2:$F$201)</f>
        <v/>
      </c>
      <c r="J75">
        <f>SUMIF($A$2:$A$201,A75,$F$2:$F$201)</f>
        <v/>
      </c>
      <c r="K75">
        <f>F75/J75</f>
        <v/>
      </c>
      <c r="L75">
        <f>A75&amp;"-"&amp;B75&amp;" x"&amp;C75</f>
        <v/>
      </c>
      <c r="M75">
        <f>IFERROR(ROUND((F75-G75)/F75,4),0)</f>
        <v/>
      </c>
      <c r="N75">
        <f>UPPER(LEFT(B75,3))&amp;MOD(C75,7)</f>
        <v/>
      </c>
      <c r="O75">
        <f>SUMIFS($C$2:$C$201,$A$2:$A$201,A75,$B$2:$B$201,B75)</f>
        <v/>
      </c>
      <c r="P75">
        <f>VLOOKUP(B75,Products!$A$2:$B$6,2,FALSE)</f>
        <v/>
      </c>
      <c r="Q75">
        <f>Q74+F75</f>
        <v/>
      </c>
    </row>
    <row r="76">
      <c r="A76" t="inlineStr">
        <is>
          <t>Central</t>
        </is>
      </c>
      <c r="B76" t="inlineStr">
        <is>
          <t>Doohickey</t>
        </is>
      </c>
      <c r="C76" t="n">
        <v>32</v>
      </c>
      <c r="D76" t="n">
        <v>112.11</v>
      </c>
      <c r="E76" t="n">
        <v>0.15</v>
      </c>
      <c r="F76">
        <f>C76*D76*(1-E76)</f>
        <v/>
      </c>
      <c r="G76">
        <f>F76*TaxRate</f>
        <v/>
      </c>
      <c r="H76">
        <f>IF(F76&gt;=Assumptions!$B$2,"High",IF(F76&gt;=Assumptions!$B$2/5,"Mid","Low"))</f>
        <v/>
      </c>
      <c r="I76">
        <f>F76/SUM($F$2:$F$201)</f>
        <v/>
      </c>
      <c r="J76">
        <f>SUMIF($A$2:$A$201,A76,$F$2:$F$201)</f>
        <v/>
      </c>
      <c r="K76">
        <f>F76/J76</f>
        <v/>
      </c>
      <c r="L76">
        <f>A76&amp;"-"&amp;B76&amp;" x"&amp;C76</f>
        <v/>
      </c>
      <c r="M76">
        <f>IFERROR(ROUND((F76-G76)/F76,4),0)</f>
        <v/>
      </c>
      <c r="N76">
        <f>UPPER(LEFT(B76,3))&amp;MOD(C76,7)</f>
        <v/>
      </c>
      <c r="O76">
        <f>SUMIFS($C$2:$C$201,$A$2:$A$201,A76,$B$2:$B$201,B76)</f>
        <v/>
      </c>
      <c r="P76">
        <f>VLOOKUP(B76,Products!$A$2:$B$6,2,FALSE)</f>
        <v/>
      </c>
      <c r="Q76">
        <f>Q75+F76</f>
        <v/>
      </c>
    </row>
    <row r="77">
      <c r="A77" t="inlineStr">
        <is>
          <t>North</t>
        </is>
      </c>
      <c r="B77" t="inlineStr">
        <is>
          <t>Sprocket</t>
        </is>
      </c>
      <c r="C77" t="n">
        <v>57</v>
      </c>
      <c r="D77" t="n">
        <v>3.51</v>
      </c>
      <c r="E77" t="n">
        <v>0.1</v>
      </c>
      <c r="F77">
        <f>C77*D77*(1-E77)</f>
        <v/>
      </c>
      <c r="G77">
        <f>F77*TaxRate</f>
        <v/>
      </c>
      <c r="H77">
        <f>IF(F77&gt;=Assumptions!$B$2,"High",IF(F77&gt;=Assumptions!$B$2/5,"Mid","Low"))</f>
        <v/>
      </c>
      <c r="I77">
        <f>F77/SUM($F$2:$F$201)</f>
        <v/>
      </c>
      <c r="J77">
        <f>SUMIF($A$2:$A$201,A77,$F$2:$F$201)</f>
        <v/>
      </c>
      <c r="K77">
        <f>F77/J77</f>
        <v/>
      </c>
      <c r="L77">
        <f>A77&amp;"-"&amp;B77&amp;" x"&amp;C77</f>
        <v/>
      </c>
      <c r="M77">
        <f>IFERROR(ROUND((F77-G77)/F77,4),0)</f>
        <v/>
      </c>
      <c r="N77">
        <f>UPPER(LEFT(B77,3))&amp;MOD(C77,7)</f>
        <v/>
      </c>
      <c r="O77">
        <f>SUMIFS($C$2:$C$201,$A$2:$A$201,A77,$B$2:$B$201,B77)</f>
        <v/>
      </c>
      <c r="P77">
        <f>VLOOKUP(B77,Products!$A$2:$B$6,2,FALSE)</f>
        <v/>
      </c>
      <c r="Q77">
        <f>Q76+F77</f>
        <v/>
      </c>
    </row>
    <row r="78">
      <c r="A78" t="inlineStr">
        <is>
          <t>West</t>
        </is>
      </c>
      <c r="B78" t="inlineStr">
        <is>
          <t>Doohickey</t>
        </is>
      </c>
      <c r="C78" t="n">
        <v>7</v>
      </c>
      <c r="D78" t="n">
        <v>95.8</v>
      </c>
      <c r="E78" t="n">
        <v>0.05</v>
      </c>
      <c r="F78">
        <f>C78*D78*(1-E78)</f>
        <v/>
      </c>
      <c r="G78">
        <f>F78*TaxRate</f>
        <v/>
      </c>
      <c r="H78">
        <f>IF(F78&gt;=Assumptions!$B$2,"High",IF(F78&gt;=Assumptions!$B$2/5,"Mid","Low"))</f>
        <v/>
      </c>
      <c r="I78">
        <f>F78/SUM($F$2:$F$201)</f>
        <v/>
      </c>
      <c r="J78">
        <f>SUMIF($A$2:$A$201,A78,$F$2:$F$201)</f>
        <v/>
      </c>
      <c r="K78">
        <f>F78/J78</f>
        <v/>
      </c>
      <c r="L78">
        <f>A78&amp;"-"&amp;B78&amp;" x"&amp;C78</f>
        <v/>
      </c>
      <c r="M78">
        <f>IFERROR(ROUND((F78-G78)/F78,4),0)</f>
        <v/>
      </c>
      <c r="N78">
        <f>UPPER(LEFT(B78,3))&amp;MOD(C78,7)</f>
        <v/>
      </c>
      <c r="O78">
        <f>SUMIFS($C$2:$C$201,$A$2:$A$201,A78,$B$2:$B$201,B78)</f>
        <v/>
      </c>
      <c r="P78">
        <f>VLOOKUP(B78,Products!$A$2:$B$6,2,FALSE)</f>
        <v/>
      </c>
      <c r="Q78">
        <f>Q77+F78</f>
        <v/>
      </c>
    </row>
    <row r="79">
      <c r="A79" t="inlineStr">
        <is>
          <t>East</t>
        </is>
      </c>
      <c r="B79" t="inlineStr">
        <is>
          <t>Gadget</t>
        </is>
      </c>
      <c r="C79" t="n">
        <v>27</v>
      </c>
      <c r="D79" t="n">
        <v>34.88</v>
      </c>
      <c r="E79" t="n">
        <v>0.05</v>
      </c>
      <c r="F79">
        <f>C79*D79*(1-E79)</f>
        <v/>
      </c>
      <c r="G79">
        <f>F79*TaxRate</f>
        <v/>
      </c>
      <c r="H79">
        <f>IF(F79&gt;=Assumptions!$B$2,"High",IF(F79&gt;=Assumptions!$B$2/5,"Mid","Low"))</f>
        <v/>
      </c>
      <c r="I79">
        <f>F79/SUM($F$2:$F$201)</f>
        <v/>
      </c>
      <c r="J79">
        <f>SUMIF($A$2:$A$201,A79,$F$2:$F$201)</f>
        <v/>
      </c>
      <c r="K79">
        <f>F79/J79</f>
        <v/>
      </c>
      <c r="L79">
        <f>A79&amp;"-"&amp;B79&amp;" x"&amp;C79</f>
        <v/>
      </c>
      <c r="M79">
        <f>IFERROR(ROUND((F79-G79)/F79,4),0)</f>
        <v/>
      </c>
      <c r="N79">
        <f>UPPER(LEFT(B79,3))&amp;MOD(C79,7)</f>
        <v/>
      </c>
      <c r="O79">
        <f>SUMIFS($C$2:$C$201,$A$2:$A$201,A79,$B$2:$B$201,B79)</f>
        <v/>
      </c>
      <c r="P79">
        <f>VLOOKUP(B79,Products!$A$2:$B$6,2,FALSE)</f>
        <v/>
      </c>
      <c r="Q79">
        <f>Q78+F79</f>
        <v/>
      </c>
    </row>
    <row r="80">
      <c r="A80" t="inlineStr">
        <is>
          <t>East</t>
        </is>
      </c>
      <c r="B80" t="inlineStr">
        <is>
          <t>Gadget</t>
        </is>
      </c>
      <c r="C80" t="n">
        <v>60</v>
      </c>
      <c r="D80" t="n">
        <v>42.59</v>
      </c>
      <c r="E80" t="n">
        <v>0.05</v>
      </c>
      <c r="F80">
        <f>C80*D80*(1-E80)</f>
        <v/>
      </c>
      <c r="G80">
        <f>F80*TaxRate</f>
        <v/>
      </c>
      <c r="H80">
        <f>IF(F80&gt;=Assumptions!$B$2,"High",IF(F80&gt;=Assumptions!$B$2/5,"Mid","Low"))</f>
        <v/>
      </c>
      <c r="I80">
        <f>F80/SUM($F$2:$F$201)</f>
        <v/>
      </c>
      <c r="J80">
        <f>SUMIF($A$2:$A$201,A80,$F$2:$F$201)</f>
        <v/>
      </c>
      <c r="K80">
        <f>F80/J80</f>
        <v/>
      </c>
      <c r="L80">
        <f>A80&amp;"-"&amp;B80&amp;" x"&amp;C80</f>
        <v/>
      </c>
      <c r="M80">
        <f>IFERROR(ROUND((F80-G80)/F80,4),0)</f>
        <v/>
      </c>
      <c r="N80">
        <f>UPPER(LEFT(B80,3))&amp;MOD(C80,7)</f>
        <v/>
      </c>
      <c r="O80">
        <f>SUMIFS($C$2:$C$201,$A$2:$A$201,A80,$B$2:$B$201,B80)</f>
        <v/>
      </c>
      <c r="P80">
        <f>VLOOKUP(B80,Products!$A$2:$B$6,2,FALSE)</f>
        <v/>
      </c>
      <c r="Q80">
        <f>Q79+F80</f>
        <v/>
      </c>
    </row>
    <row r="81">
      <c r="A81" t="inlineStr">
        <is>
          <t>West</t>
        </is>
      </c>
      <c r="B81" t="inlineStr">
        <is>
          <t>Gizmo</t>
        </is>
      </c>
      <c r="C81" t="n">
        <v>56</v>
      </c>
      <c r="D81" t="n">
        <v>6.46</v>
      </c>
      <c r="E81" t="n">
        <v>0.1</v>
      </c>
      <c r="F81">
        <f>C81*D81*(1-E81)</f>
        <v/>
      </c>
      <c r="G81">
        <f>F81*TaxRate</f>
        <v/>
      </c>
      <c r="H81">
        <f>IF(F81&gt;=Assumptions!$B$2,"High",IF(F81&gt;=Assumptions!$B$2/5,"Mid","Low"))</f>
        <v/>
      </c>
      <c r="I81">
        <f>F81/SUM($F$2:$F$201)</f>
        <v/>
      </c>
      <c r="J81">
        <f>SUMIF($A$2:$A$201,A81,$F$2:$F$201)</f>
        <v/>
      </c>
      <c r="K81">
        <f>F81/J81</f>
        <v/>
      </c>
      <c r="L81">
        <f>A81&amp;"-"&amp;B81&amp;" x"&amp;C81</f>
        <v/>
      </c>
      <c r="M81">
        <f>IFERROR(ROUND((F81-G81)/F81,4),0)</f>
        <v/>
      </c>
      <c r="N81">
        <f>UPPER(LEFT(B81,3))&amp;MOD(C81,7)</f>
        <v/>
      </c>
      <c r="O81">
        <f>SUMIFS($C$2:$C$201,$A$2:$A$201,A81,$B$2:$B$201,B81)</f>
        <v/>
      </c>
      <c r="P81">
        <f>VLOOKUP(B81,Products!$A$2:$B$6,2,FALSE)</f>
        <v/>
      </c>
      <c r="Q81">
        <f>Q80+F81</f>
        <v/>
      </c>
    </row>
    <row r="82">
      <c r="A82" t="inlineStr">
        <is>
          <t>West</t>
        </is>
      </c>
      <c r="B82" t="inlineStr">
        <is>
          <t>Widget</t>
        </is>
      </c>
      <c r="C82" t="n">
        <v>25</v>
      </c>
      <c r="D82" t="n">
        <v>13.94</v>
      </c>
      <c r="E82" t="n">
        <v>0</v>
      </c>
      <c r="F82">
        <f>C82*D82*(1-E82)</f>
        <v/>
      </c>
      <c r="G82">
        <f>F82*TaxRate</f>
        <v/>
      </c>
      <c r="H82">
        <f>IF(F82&gt;=Assumptions!$B$2,"High",IF(F82&gt;=Assumptions!$B$2/5,"Mid","Low"))</f>
        <v/>
      </c>
      <c r="I82">
        <f>F82/SUM($F$2:$F$201)</f>
        <v/>
      </c>
      <c r="J82">
        <f>SUMIF($A$2:$A$201,A82,$F$2:$F$201)</f>
        <v/>
      </c>
      <c r="K82">
        <f>F82/J82</f>
        <v/>
      </c>
      <c r="L82">
        <f>A82&amp;"-"&amp;B82&amp;" x"&amp;C82</f>
        <v/>
      </c>
      <c r="M82">
        <f>IFERROR(ROUND((F82-G82)/F82,4),0)</f>
        <v/>
      </c>
      <c r="N82">
        <f>UPPER(LEFT(B82,3))&amp;MOD(C82,7)</f>
        <v/>
      </c>
      <c r="O82">
        <f>SUMIFS($C$2:$C$201,$A$2:$A$201,A82,$B$2:$B$201,B82)</f>
        <v/>
      </c>
      <c r="P82">
        <f>VLOOKUP(B82,Products!$A$2:$B$6,2,FALSE)</f>
        <v/>
      </c>
      <c r="Q82">
        <f>Q81+F82</f>
        <v/>
      </c>
    </row>
    <row r="83">
      <c r="A83" t="inlineStr">
        <is>
          <t>West</t>
        </is>
      </c>
      <c r="B83" t="inlineStr">
        <is>
          <t>Gadget</t>
        </is>
      </c>
      <c r="C83" t="n">
        <v>45</v>
      </c>
      <c r="D83" t="n">
        <v>39.18</v>
      </c>
      <c r="E83" t="n">
        <v>0.15</v>
      </c>
      <c r="F83">
        <f>C83*D83*(1-E83)</f>
        <v/>
      </c>
      <c r="G83">
        <f>F83*TaxRate</f>
        <v/>
      </c>
      <c r="H83">
        <f>IF(F83&gt;=Assumptions!$B$2,"High",IF(F83&gt;=Assumptions!$B$2/5,"Mid","Low"))</f>
        <v/>
      </c>
      <c r="I83">
        <f>F83/SUM($F$2:$F$201)</f>
        <v/>
      </c>
      <c r="J83">
        <f>SUMIF($A$2:$A$201,A83,$F$2:$F$201)</f>
        <v/>
      </c>
      <c r="K83">
        <f>F83/J83</f>
        <v/>
      </c>
      <c r="L83">
        <f>A83&amp;"-"&amp;B83&amp;" x"&amp;C83</f>
        <v/>
      </c>
      <c r="M83">
        <f>IFERROR(ROUND((F83-G83)/F83,4),0)</f>
        <v/>
      </c>
      <c r="N83">
        <f>UPPER(LEFT(B83,3))&amp;MOD(C83,7)</f>
        <v/>
      </c>
      <c r="O83">
        <f>SUMIFS($C$2:$C$201,$A$2:$A$201,A83,$B$2:$B$201,B83)</f>
        <v/>
      </c>
      <c r="P83">
        <f>VLOOKUP(B83,Products!$A$2:$B$6,2,FALSE)</f>
        <v/>
      </c>
      <c r="Q83">
        <f>Q82+F83</f>
        <v/>
      </c>
    </row>
    <row r="84">
      <c r="A84" t="inlineStr">
        <is>
          <t>South</t>
        </is>
      </c>
      <c r="B84" t="inlineStr">
        <is>
          <t>Gizmo</t>
        </is>
      </c>
      <c r="C84" t="n">
        <v>26</v>
      </c>
      <c r="D84" t="n">
        <v>6.59</v>
      </c>
      <c r="E84" t="n">
        <v>0.05</v>
      </c>
      <c r="F84">
        <f>C84*D84*(1-E84)</f>
        <v/>
      </c>
      <c r="G84">
        <f>F84*TaxRate</f>
        <v/>
      </c>
      <c r="H84">
        <f>IF(F84&gt;=Assumptions!$B$2,"High",IF(F84&gt;=Assumptions!$B$2/5,"Mid","Low"))</f>
        <v/>
      </c>
      <c r="I84">
        <f>F84/SUM($F$2:$F$201)</f>
        <v/>
      </c>
      <c r="J84">
        <f>SUMIF($A$2:$A$201,A84,$F$2:$F$201)</f>
        <v/>
      </c>
      <c r="K84">
        <f>F84/J84</f>
        <v/>
      </c>
      <c r="L84">
        <f>A84&amp;"-"&amp;B84&amp;" x"&amp;C84</f>
        <v/>
      </c>
      <c r="M84">
        <f>IFERROR(ROUND((F84-G84)/F84,4),0)</f>
        <v/>
      </c>
      <c r="N84">
        <f>UPPER(LEFT(B84,3))&amp;MOD(C84,7)</f>
        <v/>
      </c>
      <c r="O84">
        <f>SUMIFS($C$2:$C$201,$A$2:$A$201,A84,$B$2:$B$201,B84)</f>
        <v/>
      </c>
      <c r="P84">
        <f>VLOOKUP(B84,Products!$A$2:$B$6,2,FALSE)</f>
        <v/>
      </c>
      <c r="Q84">
        <f>Q83+F84</f>
        <v/>
      </c>
    </row>
    <row r="85">
      <c r="A85" t="inlineStr">
        <is>
          <t>East</t>
        </is>
      </c>
      <c r="B85" t="inlineStr">
        <is>
          <t>Gizmo</t>
        </is>
      </c>
      <c r="C85" t="n">
        <v>1</v>
      </c>
      <c r="D85" t="n">
        <v>6.9</v>
      </c>
      <c r="E85" t="n">
        <v>0.1</v>
      </c>
      <c r="F85">
        <f>C85*D85*(1-E85)</f>
        <v/>
      </c>
      <c r="G85">
        <f>F85*TaxRate</f>
        <v/>
      </c>
      <c r="H85">
        <f>IF(F85&gt;=Assumptions!$B$2,"High",IF(F85&gt;=Assumptions!$B$2/5,"Mid","Low"))</f>
        <v/>
      </c>
      <c r="I85">
        <f>F85/SUM($F$2:$F$201)</f>
        <v/>
      </c>
      <c r="J85">
        <f>SUMIF($A$2:$A$201,A85,$F$2:$F$201)</f>
        <v/>
      </c>
      <c r="K85">
        <f>F85/J85</f>
        <v/>
      </c>
      <c r="L85">
        <f>A85&amp;"-"&amp;B85&amp;" x"&amp;C85</f>
        <v/>
      </c>
      <c r="M85">
        <f>IFERROR(ROUND((F85-G85)/F85,4),0)</f>
        <v/>
      </c>
      <c r="N85">
        <f>UPPER(LEFT(B85,3))&amp;MOD(C85,7)</f>
        <v/>
      </c>
      <c r="O85">
        <f>SUMIFS($C$2:$C$201,$A$2:$A$201,A85,$B$2:$B$201,B85)</f>
        <v/>
      </c>
      <c r="P85">
        <f>VLOOKUP(B85,Products!$A$2:$B$6,2,FALSE)</f>
        <v/>
      </c>
      <c r="Q85">
        <f>Q84+F85</f>
        <v/>
      </c>
    </row>
    <row r="86">
      <c r="A86" t="inlineStr">
        <is>
          <t>South</t>
        </is>
      </c>
      <c r="B86" t="inlineStr">
        <is>
          <t>Widget</t>
        </is>
      </c>
      <c r="C86" t="n">
        <v>24</v>
      </c>
      <c r="D86" t="n">
        <v>11.87</v>
      </c>
      <c r="E86" t="n">
        <v>0.15</v>
      </c>
      <c r="F86">
        <f>C86*D86*(1-E86)</f>
        <v/>
      </c>
      <c r="G86">
        <f>F86*TaxRate</f>
        <v/>
      </c>
      <c r="H86">
        <f>IF(F86&gt;=Assumptions!$B$2,"High",IF(F86&gt;=Assumptions!$B$2/5,"Mid","Low"))</f>
        <v/>
      </c>
      <c r="I86">
        <f>F86/SUM($F$2:$F$201)</f>
        <v/>
      </c>
      <c r="J86">
        <f>SUMIF($A$2:$A$201,A86,$F$2:$F$201)</f>
        <v/>
      </c>
      <c r="K86">
        <f>F86/J86</f>
        <v/>
      </c>
      <c r="L86">
        <f>A86&amp;"-"&amp;B86&amp;" x"&amp;C86</f>
        <v/>
      </c>
      <c r="M86">
        <f>IFERROR(ROUND((F86-G86)/F86,4),0)</f>
        <v/>
      </c>
      <c r="N86">
        <f>UPPER(LEFT(B86,3))&amp;MOD(C86,7)</f>
        <v/>
      </c>
      <c r="O86">
        <f>SUMIFS($C$2:$C$201,$A$2:$A$201,A86,$B$2:$B$201,B86)</f>
        <v/>
      </c>
      <c r="P86">
        <f>VLOOKUP(B86,Products!$A$2:$B$6,2,FALSE)</f>
        <v/>
      </c>
      <c r="Q86">
        <f>Q85+F86</f>
        <v/>
      </c>
    </row>
    <row r="87">
      <c r="A87" t="inlineStr">
        <is>
          <t>North</t>
        </is>
      </c>
      <c r="B87" t="inlineStr">
        <is>
          <t>Sprocket</t>
        </is>
      </c>
      <c r="C87" t="n">
        <v>4</v>
      </c>
      <c r="D87" t="n">
        <v>2.74</v>
      </c>
      <c r="E87" t="n">
        <v>0</v>
      </c>
      <c r="F87">
        <f>C87*D87*(1-E87)</f>
        <v/>
      </c>
      <c r="G87">
        <f>F87*TaxRate</f>
        <v/>
      </c>
      <c r="H87">
        <f>IF(F87&gt;=Assumptions!$B$2,"High",IF(F87&gt;=Assumptions!$B$2/5,"Mid","Low"))</f>
        <v/>
      </c>
      <c r="I87">
        <f>F87/SUM($F$2:$F$201)</f>
        <v/>
      </c>
      <c r="J87">
        <f>SUMIF($A$2:$A$201,A87,$F$2:$F$201)</f>
        <v/>
      </c>
      <c r="K87">
        <f>F87/J87</f>
        <v/>
      </c>
      <c r="L87">
        <f>A87&amp;"-"&amp;B87&amp;" x"&amp;C87</f>
        <v/>
      </c>
      <c r="M87">
        <f>IFERROR(ROUND((F87-G87)/F87,4),0)</f>
        <v/>
      </c>
      <c r="N87">
        <f>UPPER(LEFT(B87,3))&amp;MOD(C87,7)</f>
        <v/>
      </c>
      <c r="O87">
        <f>SUMIFS($C$2:$C$201,$A$2:$A$201,A87,$B$2:$B$201,B87)</f>
        <v/>
      </c>
      <c r="P87">
        <f>VLOOKUP(B87,Products!$A$2:$B$6,2,FALSE)</f>
        <v/>
      </c>
      <c r="Q87">
        <f>Q86+F87</f>
        <v/>
      </c>
    </row>
    <row r="88">
      <c r="A88" t="inlineStr">
        <is>
          <t>East</t>
        </is>
      </c>
      <c r="B88" t="inlineStr">
        <is>
          <t>Widget</t>
        </is>
      </c>
      <c r="C88" t="n">
        <v>16</v>
      </c>
      <c r="D88" t="n">
        <v>11.64</v>
      </c>
      <c r="E88" t="n">
        <v>0</v>
      </c>
      <c r="F88">
        <f>C88*D88*(1-E88)</f>
        <v/>
      </c>
      <c r="G88">
        <f>F88*TaxRate</f>
        <v/>
      </c>
      <c r="H88">
        <f>IF(F88&gt;=Assumptions!$B$2,"High",IF(F88&gt;=Assumptions!$B$2/5,"Mid","Low"))</f>
        <v/>
      </c>
      <c r="I88">
        <f>F88/SUM($F$2:$F$201)</f>
        <v/>
      </c>
      <c r="J88">
        <f>SUMIF($A$2:$A$201,A88,$F$2:$F$201)</f>
        <v/>
      </c>
      <c r="K88">
        <f>F88/J88</f>
        <v/>
      </c>
      <c r="L88">
        <f>A88&amp;"-"&amp;B88&amp;" x"&amp;C88</f>
        <v/>
      </c>
      <c r="M88">
        <f>IFERROR(ROUND((F88-G88)/F88,4),0)</f>
        <v/>
      </c>
      <c r="N88">
        <f>UPPER(LEFT(B88,3))&amp;MOD(C88,7)</f>
        <v/>
      </c>
      <c r="O88">
        <f>SUMIFS($C$2:$C$201,$A$2:$A$201,A88,$B$2:$B$201,B88)</f>
        <v/>
      </c>
      <c r="P88">
        <f>VLOOKUP(B88,Products!$A$2:$B$6,2,FALSE)</f>
        <v/>
      </c>
      <c r="Q88">
        <f>Q87+F88</f>
        <v/>
      </c>
    </row>
    <row r="89">
      <c r="A89" t="inlineStr">
        <is>
          <t>North</t>
        </is>
      </c>
      <c r="B89" t="inlineStr">
        <is>
          <t>Gadget</t>
        </is>
      </c>
      <c r="C89" t="n">
        <v>52</v>
      </c>
      <c r="D89" t="n">
        <v>39.07</v>
      </c>
      <c r="E89" t="n">
        <v>0.05</v>
      </c>
      <c r="F89">
        <f>C89*D89*(1-E89)</f>
        <v/>
      </c>
      <c r="G89">
        <f>F89*TaxRate</f>
        <v/>
      </c>
      <c r="H89">
        <f>IF(F89&gt;=Assumptions!$B$2,"High",IF(F89&gt;=Assumptions!$B$2/5,"Mid","Low"))</f>
        <v/>
      </c>
      <c r="I89">
        <f>F89/SUM($F$2:$F$201)</f>
        <v/>
      </c>
      <c r="J89">
        <f>SUMIF($A$2:$A$201,A89,$F$2:$F$201)</f>
        <v/>
      </c>
      <c r="K89">
        <f>F89/J89</f>
        <v/>
      </c>
      <c r="L89">
        <f>A89&amp;"-"&amp;B89&amp;" x"&amp;C89</f>
        <v/>
      </c>
      <c r="M89">
        <f>IFERROR(ROUND((F89-G89)/F89,4),0)</f>
        <v/>
      </c>
      <c r="N89">
        <f>UPPER(LEFT(B89,3))&amp;MOD(C89,7)</f>
        <v/>
      </c>
      <c r="O89">
        <f>SUMIFS($C$2:$C$201,$A$2:$A$201,A89,$B$2:$B$201,B89)</f>
        <v/>
      </c>
      <c r="P89">
        <f>VLOOKUP(B89,Products!$A$2:$B$6,2,FALSE)</f>
        <v/>
      </c>
      <c r="Q89">
        <f>Q88+F89</f>
        <v/>
      </c>
    </row>
    <row r="90">
      <c r="A90" t="inlineStr">
        <is>
          <t>South</t>
        </is>
      </c>
      <c r="B90" t="inlineStr">
        <is>
          <t>Gadget</t>
        </is>
      </c>
      <c r="C90" t="n">
        <v>34</v>
      </c>
      <c r="D90" t="n">
        <v>45.03</v>
      </c>
      <c r="E90" t="n">
        <v>0.15</v>
      </c>
      <c r="F90">
        <f>C90*D90*(1-E90)</f>
        <v/>
      </c>
      <c r="G90">
        <f>F90*TaxRate</f>
        <v/>
      </c>
      <c r="H90">
        <f>IF(F90&gt;=Assumptions!$B$2,"High",IF(F90&gt;=Assumptions!$B$2/5,"Mid","Low"))</f>
        <v/>
      </c>
      <c r="I90">
        <f>F90/SUM($F$2:$F$201)</f>
        <v/>
      </c>
      <c r="J90">
        <f>SUMIF($A$2:$A$201,A90,$F$2:$F$201)</f>
        <v/>
      </c>
      <c r="K90">
        <f>F90/J90</f>
        <v/>
      </c>
      <c r="L90">
        <f>A90&amp;"-"&amp;B90&amp;" x"&amp;C90</f>
        <v/>
      </c>
      <c r="M90">
        <f>IFERROR(ROUND((F90-G90)/F90,4),0)</f>
        <v/>
      </c>
      <c r="N90">
        <f>UPPER(LEFT(B90,3))&amp;MOD(C90,7)</f>
        <v/>
      </c>
      <c r="O90">
        <f>SUMIFS($C$2:$C$201,$A$2:$A$201,A90,$B$2:$B$201,B90)</f>
        <v/>
      </c>
      <c r="P90">
        <f>VLOOKUP(B90,Products!$A$2:$B$6,2,FALSE)</f>
        <v/>
      </c>
      <c r="Q90">
        <f>Q89+F90</f>
        <v/>
      </c>
    </row>
    <row r="91">
      <c r="A91" t="inlineStr">
        <is>
          <t>South</t>
        </is>
      </c>
      <c r="B91" t="inlineStr">
        <is>
          <t>Gizmo</t>
        </is>
      </c>
      <c r="C91" t="n">
        <v>5</v>
      </c>
      <c r="D91" t="n">
        <v>6.77</v>
      </c>
      <c r="E91" t="n">
        <v>0</v>
      </c>
      <c r="F91">
        <f>C91*D91*(1-E91)</f>
        <v/>
      </c>
      <c r="G91">
        <f>F91*TaxRate</f>
        <v/>
      </c>
      <c r="H91">
        <f>IF(F91&gt;=Assumptions!$B$2,"High",IF(F91&gt;=Assumptions!$B$2/5,"Mid","Low"))</f>
        <v/>
      </c>
      <c r="I91">
        <f>F91/SUM($F$2:$F$201)</f>
        <v/>
      </c>
      <c r="J91">
        <f>SUMIF($A$2:$A$201,A91,$F$2:$F$201)</f>
        <v/>
      </c>
      <c r="K91">
        <f>F91/J91</f>
        <v/>
      </c>
      <c r="L91">
        <f>A91&amp;"-"&amp;B91&amp;" x"&amp;C91</f>
        <v/>
      </c>
      <c r="M91">
        <f>IFERROR(ROUND((F91-G91)/F91,4),0)</f>
        <v/>
      </c>
      <c r="N91">
        <f>UPPER(LEFT(B91,3))&amp;MOD(C91,7)</f>
        <v/>
      </c>
      <c r="O91">
        <f>SUMIFS($C$2:$C$201,$A$2:$A$201,A91,$B$2:$B$201,B91)</f>
        <v/>
      </c>
      <c r="P91">
        <f>VLOOKUP(B91,Products!$A$2:$B$6,2,FALSE)</f>
        <v/>
      </c>
      <c r="Q91">
        <f>Q90+F91</f>
        <v/>
      </c>
    </row>
    <row r="92">
      <c r="A92" t="inlineStr">
        <is>
          <t>South</t>
        </is>
      </c>
      <c r="B92" t="inlineStr">
        <is>
          <t>Widget</t>
        </is>
      </c>
      <c r="C92" t="n">
        <v>17</v>
      </c>
      <c r="D92" t="n">
        <v>14.14</v>
      </c>
      <c r="F92">
        <f>C92*D92*(1-E92)</f>
        <v/>
      </c>
      <c r="G92">
        <f>F92*TaxRate</f>
        <v/>
      </c>
      <c r="H92">
        <f>IF(F92&gt;=Assumptions!$B$2,"High",IF(F92&gt;=Assumptions!$B$2/5,"Mid","Low"))</f>
        <v/>
      </c>
      <c r="I92">
        <f>F92/SUM($F$2:$F$201)</f>
        <v/>
      </c>
      <c r="J92">
        <f>SUMIF($A$2:$A$201,A92,$F$2:$F$201)</f>
        <v/>
      </c>
      <c r="K92">
        <f>F92/J92</f>
        <v/>
      </c>
      <c r="L92">
        <f>A92&amp;"-"&amp;B92&amp;" x"&amp;C92</f>
        <v/>
      </c>
      <c r="M92">
        <f>IFERROR(ROUND((F92-G92)/F92,4),0)</f>
        <v/>
      </c>
      <c r="N92">
        <f>UPPER(LEFT(B92,3))&amp;MOD(C92,7)</f>
        <v/>
      </c>
      <c r="O92">
        <f>SUMIFS($C$2:$C$201,$A$2:$A$201,A92,$B$2:$B$201,B92)</f>
        <v/>
      </c>
      <c r="P92">
        <f>VLOOKUP(B92,Products!$A$2:$B$6,2,FALSE)</f>
        <v/>
      </c>
      <c r="Q92">
        <f>Q91+F92</f>
        <v/>
      </c>
    </row>
    <row r="93">
      <c r="A93" t="inlineStr">
        <is>
          <t>North</t>
        </is>
      </c>
      <c r="B93" t="inlineStr">
        <is>
          <t>Widget</t>
        </is>
      </c>
      <c r="C93" t="n">
        <v>38</v>
      </c>
      <c r="D93" t="n">
        <v>13.84</v>
      </c>
      <c r="F93">
        <f>C93*D93*(1-E93)</f>
        <v/>
      </c>
      <c r="G93">
        <f>F93*TaxRate</f>
        <v/>
      </c>
      <c r="H93">
        <f>IF(F93&gt;=Assumptions!$B$2,"High",IF(F93&gt;=Assumptions!$B$2/5,"Mid","Low"))</f>
        <v/>
      </c>
      <c r="I93">
        <f>F93/SUM($F$2:$F$201)</f>
        <v/>
      </c>
      <c r="J93">
        <f>SUMIF($A$2:$A$201,A93,$F$2:$F$201)</f>
        <v/>
      </c>
      <c r="K93">
        <f>F93/J93</f>
        <v/>
      </c>
      <c r="L93">
        <f>A93&amp;"-"&amp;B93&amp;" x"&amp;C93</f>
        <v/>
      </c>
      <c r="M93">
        <f>IFERROR(ROUND((F93-G93)/F93,4),0)</f>
        <v/>
      </c>
      <c r="N93">
        <f>UPPER(LEFT(B93,3))&amp;MOD(C93,7)</f>
        <v/>
      </c>
      <c r="O93">
        <f>SUMIFS($C$2:$C$201,$A$2:$A$201,A93,$B$2:$B$201,B93)</f>
        <v/>
      </c>
      <c r="P93">
        <f>VLOOKUP(B93,Products!$A$2:$B$6,2,FALSE)</f>
        <v/>
      </c>
      <c r="Q93">
        <f>Q92+F93</f>
        <v/>
      </c>
    </row>
    <row r="94">
      <c r="A94" t="inlineStr">
        <is>
          <t>North</t>
        </is>
      </c>
      <c r="B94" t="inlineStr">
        <is>
          <t>Widget</t>
        </is>
      </c>
      <c r="C94" t="n">
        <v>29</v>
      </c>
      <c r="D94" t="n">
        <v>10.67</v>
      </c>
      <c r="E94" t="n">
        <v>0.15</v>
      </c>
      <c r="F94">
        <f>C94*D94*(1-E94)</f>
        <v/>
      </c>
      <c r="G94">
        <f>F94*TaxRate</f>
        <v/>
      </c>
      <c r="H94">
        <f>IF(F94&gt;=Assumptions!$B$2,"High",IF(F94&gt;=Assumptions!$B$2/5,"Mid","Low"))</f>
        <v/>
      </c>
      <c r="I94">
        <f>F94/SUM($F$2:$F$201)</f>
        <v/>
      </c>
      <c r="J94">
        <f>SUMIF($A$2:$A$201,A94,$F$2:$F$201)</f>
        <v/>
      </c>
      <c r="K94">
        <f>F94/J94</f>
        <v/>
      </c>
      <c r="L94">
        <f>A94&amp;"-"&amp;B94&amp;" x"&amp;C94</f>
        <v/>
      </c>
      <c r="M94">
        <f>IFERROR(ROUND((F94-G94)/F94,4),0)</f>
        <v/>
      </c>
      <c r="N94">
        <f>UPPER(LEFT(B94,3))&amp;MOD(C94,7)</f>
        <v/>
      </c>
      <c r="O94">
        <f>SUMIFS($C$2:$C$201,$A$2:$A$201,A94,$B$2:$B$201,B94)</f>
        <v/>
      </c>
      <c r="P94">
        <f>VLOOKUP(B94,Products!$A$2:$B$6,2,FALSE)</f>
        <v/>
      </c>
      <c r="Q94">
        <f>Q93+F94</f>
        <v/>
      </c>
    </row>
    <row r="95">
      <c r="A95" t="inlineStr">
        <is>
          <t>South</t>
        </is>
      </c>
      <c r="B95" t="inlineStr">
        <is>
          <t>Gizmo</t>
        </is>
      </c>
      <c r="C95" t="n">
        <v>39</v>
      </c>
      <c r="D95" t="n">
        <v>6.44</v>
      </c>
      <c r="E95" t="n">
        <v>0.15</v>
      </c>
      <c r="F95">
        <f>C95*D95*(1-E95)</f>
        <v/>
      </c>
      <c r="G95">
        <f>F95*TaxRate</f>
        <v/>
      </c>
      <c r="H95">
        <f>IF(F95&gt;=Assumptions!$B$2,"High",IF(F95&gt;=Assumptions!$B$2/5,"Mid","Low"))</f>
        <v/>
      </c>
      <c r="I95">
        <f>F95/SUM($F$2:$F$201)</f>
        <v/>
      </c>
      <c r="J95">
        <f>SUMIF($A$2:$A$201,A95,$F$2:$F$201)</f>
        <v/>
      </c>
      <c r="K95">
        <f>F95/J95</f>
        <v/>
      </c>
      <c r="L95">
        <f>A95&amp;"-"&amp;B95&amp;" x"&amp;C95</f>
        <v/>
      </c>
      <c r="M95">
        <f>IFERROR(ROUND((F95-G95)/F95,4),0)</f>
        <v/>
      </c>
      <c r="N95">
        <f>UPPER(LEFT(B95,3))&amp;MOD(C95,7)</f>
        <v/>
      </c>
      <c r="O95">
        <f>SUMIFS($C$2:$C$201,$A$2:$A$201,A95,$B$2:$B$201,B95)</f>
        <v/>
      </c>
      <c r="P95">
        <f>VLOOKUP(B95,Products!$A$2:$B$6,2,FALSE)</f>
        <v/>
      </c>
      <c r="Q95">
        <f>Q94+F95</f>
        <v/>
      </c>
    </row>
    <row r="96">
      <c r="A96" t="inlineStr">
        <is>
          <t>West</t>
        </is>
      </c>
      <c r="B96" t="inlineStr">
        <is>
          <t>Widget</t>
        </is>
      </c>
      <c r="C96" t="n">
        <v>10</v>
      </c>
      <c r="D96" t="n">
        <v>11.61</v>
      </c>
      <c r="E96" t="n">
        <v>0</v>
      </c>
      <c r="F96">
        <f>C96*D96*(1-E96)</f>
        <v/>
      </c>
      <c r="G96">
        <f>F96*TaxRate</f>
        <v/>
      </c>
      <c r="H96">
        <f>IF(F96&gt;=Assumptions!$B$2,"High",IF(F96&gt;=Assumptions!$B$2/5,"Mid","Low"))</f>
        <v/>
      </c>
      <c r="I96">
        <f>F96/SUM($F$2:$F$201)</f>
        <v/>
      </c>
      <c r="J96">
        <f>SUMIF($A$2:$A$201,A96,$F$2:$F$201)</f>
        <v/>
      </c>
      <c r="K96">
        <f>F96/J96</f>
        <v/>
      </c>
      <c r="L96">
        <f>A96&amp;"-"&amp;B96&amp;" x"&amp;C96</f>
        <v/>
      </c>
      <c r="M96">
        <f>IFERROR(ROUND((F96-G96)/F96,4),0)</f>
        <v/>
      </c>
      <c r="N96">
        <f>UPPER(LEFT(B96,3))&amp;MOD(C96,7)</f>
        <v/>
      </c>
      <c r="O96">
        <f>SUMIFS($C$2:$C$201,$A$2:$A$201,A96,$B$2:$B$201,B96)</f>
        <v/>
      </c>
      <c r="P96">
        <f>VLOOKUP(B96,Products!$A$2:$B$6,2,FALSE)</f>
        <v/>
      </c>
      <c r="Q96">
        <f>Q95+F96</f>
        <v/>
      </c>
    </row>
    <row r="97">
      <c r="A97" t="inlineStr">
        <is>
          <t>West</t>
        </is>
      </c>
      <c r="B97" t="inlineStr">
        <is>
          <t>Gizmo</t>
        </is>
      </c>
      <c r="C97" t="n">
        <v>40</v>
      </c>
      <c r="D97" t="n">
        <v>6.83</v>
      </c>
      <c r="E97" t="n">
        <v>0</v>
      </c>
      <c r="F97">
        <f>C97*D97*(1-E97)</f>
        <v/>
      </c>
      <c r="G97">
        <f>F97*TaxRate</f>
        <v/>
      </c>
      <c r="H97">
        <f>IF(F97&gt;=Assumptions!$B$2,"High",IF(F97&gt;=Assumptions!$B$2/5,"Mid","Low"))</f>
        <v/>
      </c>
      <c r="I97">
        <f>F97/SUM($F$2:$F$201)</f>
        <v/>
      </c>
      <c r="J97">
        <f>SUMIF($A$2:$A$201,A97,$F$2:$F$201)</f>
        <v/>
      </c>
      <c r="K97">
        <f>F97/J97</f>
        <v/>
      </c>
      <c r="L97">
        <f>A97&amp;"-"&amp;B97&amp;" x"&amp;C97</f>
        <v/>
      </c>
      <c r="M97">
        <f>IFERROR(ROUND((F97-G97)/F97,4),0)</f>
        <v/>
      </c>
      <c r="N97">
        <f>UPPER(LEFT(B97,3))&amp;MOD(C97,7)</f>
        <v/>
      </c>
      <c r="O97">
        <f>SUMIFS($C$2:$C$201,$A$2:$A$201,A97,$B$2:$B$201,B97)</f>
        <v/>
      </c>
      <c r="P97">
        <f>VLOOKUP(B97,Products!$A$2:$B$6,2,FALSE)</f>
        <v/>
      </c>
      <c r="Q97">
        <f>Q96+F97</f>
        <v/>
      </c>
    </row>
    <row r="98">
      <c r="A98" t="inlineStr">
        <is>
          <t>North</t>
        </is>
      </c>
      <c r="B98" t="inlineStr">
        <is>
          <t>Doohickey</t>
        </is>
      </c>
      <c r="C98" t="n">
        <v>32</v>
      </c>
      <c r="D98" t="n">
        <v>104.11</v>
      </c>
      <c r="E98" t="n">
        <v>0.05</v>
      </c>
      <c r="F98">
        <f>C98*D98*(1-E98)</f>
        <v/>
      </c>
      <c r="G98">
        <f>F98*TaxRate</f>
        <v/>
      </c>
      <c r="H98">
        <f>IF(F98&gt;=Assumptions!$B$2,"High",IF(F98&gt;=Assumptions!$B$2/5,"Mid","Low"))</f>
        <v/>
      </c>
      <c r="I98">
        <f>F98/SUM($F$2:$F$201)</f>
        <v/>
      </c>
      <c r="J98">
        <f>SUMIF($A$2:$A$201,A98,$F$2:$F$201)</f>
        <v/>
      </c>
      <c r="K98">
        <f>F98/J98</f>
        <v/>
      </c>
      <c r="L98">
        <f>A98&amp;"-"&amp;B98&amp;" x"&amp;C98</f>
        <v/>
      </c>
      <c r="M98">
        <f>IFERROR(ROUND((F98-G98)/F98,4),0)</f>
        <v/>
      </c>
      <c r="N98">
        <f>UPPER(LEFT(B98,3))&amp;MOD(C98,7)</f>
        <v/>
      </c>
      <c r="O98">
        <f>SUMIFS($C$2:$C$201,$A$2:$A$201,A98,$B$2:$B$201,B98)</f>
        <v/>
      </c>
      <c r="P98">
        <f>VLOOKUP(B98,Products!$A$2:$B$6,2,FALSE)</f>
        <v/>
      </c>
      <c r="Q98">
        <f>Q97+F98</f>
        <v/>
      </c>
    </row>
    <row r="99">
      <c r="A99" t="inlineStr">
        <is>
          <t>North</t>
        </is>
      </c>
      <c r="B99" t="inlineStr">
        <is>
          <t>Widget</t>
        </is>
      </c>
      <c r="C99" t="n">
        <v>16</v>
      </c>
      <c r="D99" t="n">
        <v>10.76</v>
      </c>
      <c r="F99">
        <f>C99*D99*(1-E99)</f>
        <v/>
      </c>
      <c r="G99">
        <f>F99*TaxRate</f>
        <v/>
      </c>
      <c r="H99">
        <f>IF(F99&gt;=Assumptions!$B$2,"High",IF(F99&gt;=Assumptions!$B$2/5,"Mid","Low"))</f>
        <v/>
      </c>
      <c r="I99">
        <f>F99/SUM($F$2:$F$201)</f>
        <v/>
      </c>
      <c r="J99">
        <f>SUMIF($A$2:$A$201,A99,$F$2:$F$201)</f>
        <v/>
      </c>
      <c r="K99">
        <f>F99/J99</f>
        <v/>
      </c>
      <c r="L99">
        <f>A99&amp;"-"&amp;B99&amp;" x"&amp;C99</f>
        <v/>
      </c>
      <c r="M99">
        <f>IFERROR(ROUND((F99-G99)/F99,4),0)</f>
        <v/>
      </c>
      <c r="N99">
        <f>UPPER(LEFT(B99,3))&amp;MOD(C99,7)</f>
        <v/>
      </c>
      <c r="O99">
        <f>SUMIFS($C$2:$C$201,$A$2:$A$201,A99,$B$2:$B$201,B99)</f>
        <v/>
      </c>
      <c r="P99">
        <f>VLOOKUP(B99,Products!$A$2:$B$6,2,FALSE)</f>
        <v/>
      </c>
      <c r="Q99">
        <f>Q98+F99</f>
        <v/>
      </c>
    </row>
    <row r="100">
      <c r="A100" t="inlineStr">
        <is>
          <t>Central</t>
        </is>
      </c>
      <c r="B100" t="inlineStr">
        <is>
          <t>Sprocket</t>
        </is>
      </c>
      <c r="C100" t="n">
        <v>12</v>
      </c>
      <c r="D100" t="n">
        <v>3.11</v>
      </c>
      <c r="E100" t="n">
        <v>0</v>
      </c>
      <c r="F100">
        <f>C100*D100*(1-E100)</f>
        <v/>
      </c>
      <c r="G100">
        <f>F100*TaxRate</f>
        <v/>
      </c>
      <c r="H100">
        <f>IF(F100&gt;=Assumptions!$B$2,"High",IF(F100&gt;=Assumptions!$B$2/5,"Mid","Low"))</f>
        <v/>
      </c>
      <c r="I100">
        <f>F100/SUM($F$2:$F$201)</f>
        <v/>
      </c>
      <c r="J100">
        <f>SUMIF($A$2:$A$201,A100,$F$2:$F$201)</f>
        <v/>
      </c>
      <c r="K100">
        <f>F100/J100</f>
        <v/>
      </c>
      <c r="L100">
        <f>A100&amp;"-"&amp;B100&amp;" x"&amp;C100</f>
        <v/>
      </c>
      <c r="M100">
        <f>IFERROR(ROUND((F100-G100)/F100,4),0)</f>
        <v/>
      </c>
      <c r="N100">
        <f>UPPER(LEFT(B100,3))&amp;MOD(C100,7)</f>
        <v/>
      </c>
      <c r="O100">
        <f>SUMIFS($C$2:$C$201,$A$2:$A$201,A100,$B$2:$B$201,B100)</f>
        <v/>
      </c>
      <c r="P100">
        <f>VLOOKUP(B100,Products!$A$2:$B$6,2,FALSE)</f>
        <v/>
      </c>
      <c r="Q100">
        <f>Q99+F100</f>
        <v/>
      </c>
    </row>
    <row r="101">
      <c r="A101" t="inlineStr">
        <is>
          <t>South</t>
        </is>
      </c>
      <c r="B101" t="inlineStr">
        <is>
          <t>Widget</t>
        </is>
      </c>
      <c r="C101" t="n">
        <v>42</v>
      </c>
      <c r="D101" t="n">
        <v>13.7</v>
      </c>
      <c r="E101" t="n">
        <v>0.1</v>
      </c>
      <c r="F101">
        <f>C101*D101*(1-E101)</f>
        <v/>
      </c>
      <c r="G101">
        <f>F101*TaxRate</f>
        <v/>
      </c>
      <c r="H101">
        <f>IF(F101&gt;=Assumptions!$B$2,"High",IF(F101&gt;=Assumptions!$B$2/5,"Mid","Low"))</f>
        <v/>
      </c>
      <c r="I101">
        <f>F101/SUM($F$2:$F$201)</f>
        <v/>
      </c>
      <c r="J101">
        <f>SUMIF($A$2:$A$201,A101,$F$2:$F$201)</f>
        <v/>
      </c>
      <c r="K101">
        <f>F101/J101</f>
        <v/>
      </c>
      <c r="L101">
        <f>A101&amp;"-"&amp;B101&amp;" x"&amp;C101</f>
        <v/>
      </c>
      <c r="M101">
        <f>IFERROR(ROUND((F101-G101)/F101,4),0)</f>
        <v/>
      </c>
      <c r="N101">
        <f>UPPER(LEFT(B101,3))&amp;MOD(C101,7)</f>
        <v/>
      </c>
      <c r="O101">
        <f>SUMIFS($C$2:$C$201,$A$2:$A$201,A101,$B$2:$B$201,B101)</f>
        <v/>
      </c>
      <c r="P101">
        <f>VLOOKUP(B101,Products!$A$2:$B$6,2,FALSE)</f>
        <v/>
      </c>
      <c r="Q101">
        <f>Q100+F101</f>
        <v/>
      </c>
    </row>
    <row r="102">
      <c r="A102" t="inlineStr">
        <is>
          <t>South</t>
        </is>
      </c>
      <c r="B102" t="inlineStr">
        <is>
          <t>Sprocket</t>
        </is>
      </c>
      <c r="C102" t="n">
        <v>53</v>
      </c>
      <c r="D102" t="n">
        <v>3.46</v>
      </c>
      <c r="E102" t="n">
        <v>0.15</v>
      </c>
      <c r="F102">
        <f>C102*D102*(1-E102)</f>
        <v/>
      </c>
      <c r="G102">
        <f>F102*TaxRate</f>
        <v/>
      </c>
      <c r="H102">
        <f>IF(F102&gt;=Assumptions!$B$2,"High",IF(F102&gt;=Assumptions!$B$2/5,"Mid","Low"))</f>
        <v/>
      </c>
      <c r="I102">
        <f>F102/SUM($F$2:$F$201)</f>
        <v/>
      </c>
      <c r="J102">
        <f>SUMIF($A$2:$A$201,A102,$F$2:$F$201)</f>
        <v/>
      </c>
      <c r="K102">
        <f>F102/J102</f>
        <v/>
      </c>
      <c r="L102">
        <f>A102&amp;"-"&amp;B102&amp;" x"&amp;C102</f>
        <v/>
      </c>
      <c r="M102">
        <f>IFERROR(ROUND((F102-G102)/F102,4),0)</f>
        <v/>
      </c>
      <c r="N102">
        <f>UPPER(LEFT(B102,3))&amp;MOD(C102,7)</f>
        <v/>
      </c>
      <c r="O102">
        <f>SUMIFS($C$2:$C$201,$A$2:$A$201,A102,$B$2:$B$201,B102)</f>
        <v/>
      </c>
      <c r="P102">
        <f>VLOOKUP(B102,Products!$A$2:$B$6,2,FALSE)</f>
        <v/>
      </c>
      <c r="Q102">
        <f>Q101+F102</f>
        <v/>
      </c>
    </row>
    <row r="103">
      <c r="A103" t="inlineStr">
        <is>
          <t>North</t>
        </is>
      </c>
      <c r="B103" t="inlineStr">
        <is>
          <t>Gadget</t>
        </is>
      </c>
      <c r="C103" t="n">
        <v>14</v>
      </c>
      <c r="D103" t="n">
        <v>38.11</v>
      </c>
      <c r="E103" t="n">
        <v>0</v>
      </c>
      <c r="F103">
        <f>C103*D103*(1-E103)</f>
        <v/>
      </c>
      <c r="G103">
        <f>F103*TaxRate</f>
        <v/>
      </c>
      <c r="H103">
        <f>IF(F103&gt;=Assumptions!$B$2,"High",IF(F103&gt;=Assumptions!$B$2/5,"Mid","Low"))</f>
        <v/>
      </c>
      <c r="I103">
        <f>F103/SUM($F$2:$F$201)</f>
        <v/>
      </c>
      <c r="J103">
        <f>SUMIF($A$2:$A$201,A103,$F$2:$F$201)</f>
        <v/>
      </c>
      <c r="K103">
        <f>F103/J103</f>
        <v/>
      </c>
      <c r="L103">
        <f>A103&amp;"-"&amp;B103&amp;" x"&amp;C103</f>
        <v/>
      </c>
      <c r="M103">
        <f>IFERROR(ROUND((F103-G103)/F103,4),0)</f>
        <v/>
      </c>
      <c r="N103">
        <f>UPPER(LEFT(B103,3))&amp;MOD(C103,7)</f>
        <v/>
      </c>
      <c r="O103">
        <f>SUMIFS($C$2:$C$201,$A$2:$A$201,A103,$B$2:$B$201,B103)</f>
        <v/>
      </c>
      <c r="P103">
        <f>VLOOKUP(B103,Products!$A$2:$B$6,2,FALSE)</f>
        <v/>
      </c>
      <c r="Q103">
        <f>Q102+F103</f>
        <v/>
      </c>
    </row>
    <row r="104">
      <c r="A104" t="inlineStr">
        <is>
          <t>South</t>
        </is>
      </c>
      <c r="B104" t="inlineStr">
        <is>
          <t>Gizmo</t>
        </is>
      </c>
      <c r="C104" t="n">
        <v>3</v>
      </c>
      <c r="D104" t="n">
        <v>7.98</v>
      </c>
      <c r="F104">
        <f>C104*D104*(1-E104)</f>
        <v/>
      </c>
      <c r="G104">
        <f>F104*TaxRate</f>
        <v/>
      </c>
      <c r="H104">
        <f>IF(F104&gt;=Assumptions!$B$2,"High",IF(F104&gt;=Assumptions!$B$2/5,"Mid","Low"))</f>
        <v/>
      </c>
      <c r="I104">
        <f>F104/SUM($F$2:$F$201)</f>
        <v/>
      </c>
      <c r="J104">
        <f>SUMIF($A$2:$A$201,A104,$F$2:$F$201)</f>
        <v/>
      </c>
      <c r="K104">
        <f>F104/J104</f>
        <v/>
      </c>
      <c r="L104">
        <f>A104&amp;"-"&amp;B104&amp;" x"&amp;C104</f>
        <v/>
      </c>
      <c r="M104">
        <f>IFERROR(ROUND((F104-G104)/F104,4),0)</f>
        <v/>
      </c>
      <c r="N104">
        <f>UPPER(LEFT(B104,3))&amp;MOD(C104,7)</f>
        <v/>
      </c>
      <c r="O104">
        <f>SUMIFS($C$2:$C$201,$A$2:$A$201,A104,$B$2:$B$201,B104)</f>
        <v/>
      </c>
      <c r="P104">
        <f>VLOOKUP(B104,Products!$A$2:$B$6,2,FALSE)</f>
        <v/>
      </c>
      <c r="Q104">
        <f>Q103+F104</f>
        <v/>
      </c>
    </row>
    <row r="105">
      <c r="A105" t="inlineStr">
        <is>
          <t>East</t>
        </is>
      </c>
      <c r="B105" t="inlineStr">
        <is>
          <t>Gizmo</t>
        </is>
      </c>
      <c r="C105" t="n">
        <v>27</v>
      </c>
      <c r="D105" t="n">
        <v>6.52</v>
      </c>
      <c r="F105">
        <f>C105*D105*(1-E105)</f>
        <v/>
      </c>
      <c r="G105">
        <f>F105*TaxRate</f>
        <v/>
      </c>
      <c r="H105">
        <f>IF(F105&gt;=Assumptions!$B$2,"High",IF(F105&gt;=Assumptions!$B$2/5,"Mid","Low"))</f>
        <v/>
      </c>
      <c r="I105">
        <f>F105/SUM($F$2:$F$201)</f>
        <v/>
      </c>
      <c r="J105">
        <f>SUMIF($A$2:$A$201,A105,$F$2:$F$201)</f>
        <v/>
      </c>
      <c r="K105">
        <f>F105/J105</f>
        <v/>
      </c>
      <c r="L105">
        <f>A105&amp;"-"&amp;B105&amp;" x"&amp;C105</f>
        <v/>
      </c>
      <c r="M105">
        <f>IFERROR(ROUND((F105-G105)/F105,4),0)</f>
        <v/>
      </c>
      <c r="N105">
        <f>UPPER(LEFT(B105,3))&amp;MOD(C105,7)</f>
        <v/>
      </c>
      <c r="O105">
        <f>SUMIFS($C$2:$C$201,$A$2:$A$201,A105,$B$2:$B$201,B105)</f>
        <v/>
      </c>
      <c r="P105">
        <f>VLOOKUP(B105,Products!$A$2:$B$6,2,FALSE)</f>
        <v/>
      </c>
      <c r="Q105">
        <f>Q104+F105</f>
        <v/>
      </c>
    </row>
    <row r="106">
      <c r="A106" t="inlineStr">
        <is>
          <t>South</t>
        </is>
      </c>
      <c r="B106" t="inlineStr">
        <is>
          <t>Sprocket</t>
        </is>
      </c>
      <c r="C106" t="n">
        <v>42</v>
      </c>
      <c r="D106" t="n">
        <v>3.54</v>
      </c>
      <c r="E106" t="n">
        <v>0.15</v>
      </c>
      <c r="F106">
        <f>C106*D106*(1-E106)</f>
        <v/>
      </c>
      <c r="G106">
        <f>F106*TaxRate</f>
        <v/>
      </c>
      <c r="H106">
        <f>IF(F106&gt;=Assumptions!$B$2,"High",IF(F106&gt;=Assumptions!$B$2/5,"Mid","Low"))</f>
        <v/>
      </c>
      <c r="I106">
        <f>F106/SUM($F$2:$F$201)</f>
        <v/>
      </c>
      <c r="J106">
        <f>SUMIF($A$2:$A$201,A106,$F$2:$F$201)</f>
        <v/>
      </c>
      <c r="K106">
        <f>F106/J106</f>
        <v/>
      </c>
      <c r="L106">
        <f>A106&amp;"-"&amp;B106&amp;" x"&amp;C106</f>
        <v/>
      </c>
      <c r="M106">
        <f>IFERROR(ROUND((F106-G106)/F106,4),0)</f>
        <v/>
      </c>
      <c r="N106">
        <f>UPPER(LEFT(B106,3))&amp;MOD(C106,7)</f>
        <v/>
      </c>
      <c r="O106">
        <f>SUMIFS($C$2:$C$201,$A$2:$A$201,A106,$B$2:$B$201,B106)</f>
        <v/>
      </c>
      <c r="P106">
        <f>VLOOKUP(B106,Products!$A$2:$B$6,2,FALSE)</f>
        <v/>
      </c>
      <c r="Q106">
        <f>Q105+F106</f>
        <v/>
      </c>
    </row>
    <row r="107">
      <c r="A107" t="inlineStr">
        <is>
          <t>West</t>
        </is>
      </c>
      <c r="B107" t="inlineStr">
        <is>
          <t>Gizmo</t>
        </is>
      </c>
      <c r="C107" t="n">
        <v>2</v>
      </c>
      <c r="D107" t="n">
        <v>7.16</v>
      </c>
      <c r="E107" t="n">
        <v>0</v>
      </c>
      <c r="F107">
        <f>C107*D107*(1-E107)</f>
        <v/>
      </c>
      <c r="G107">
        <f>F107*TaxRate</f>
        <v/>
      </c>
      <c r="H107">
        <f>IF(F107&gt;=Assumptions!$B$2,"High",IF(F107&gt;=Assumptions!$B$2/5,"Mid","Low"))</f>
        <v/>
      </c>
      <c r="I107">
        <f>F107/SUM($F$2:$F$201)</f>
        <v/>
      </c>
      <c r="J107">
        <f>SUMIF($A$2:$A$201,A107,$F$2:$F$201)</f>
        <v/>
      </c>
      <c r="K107">
        <f>F107/J107</f>
        <v/>
      </c>
      <c r="L107">
        <f>A107&amp;"-"&amp;B107&amp;" x"&amp;C107</f>
        <v/>
      </c>
      <c r="M107">
        <f>IFERROR(ROUND((F107-G107)/F107,4),0)</f>
        <v/>
      </c>
      <c r="N107">
        <f>UPPER(LEFT(B107,3))&amp;MOD(C107,7)</f>
        <v/>
      </c>
      <c r="O107">
        <f>SUMIFS($C$2:$C$201,$A$2:$A$201,A107,$B$2:$B$201,B107)</f>
        <v/>
      </c>
      <c r="P107">
        <f>VLOOKUP(B107,Products!$A$2:$B$6,2,FALSE)</f>
        <v/>
      </c>
      <c r="Q107">
        <f>Q106+F107</f>
        <v/>
      </c>
    </row>
    <row r="108">
      <c r="A108" t="inlineStr">
        <is>
          <t>North</t>
        </is>
      </c>
      <c r="B108" t="inlineStr">
        <is>
          <t>Doohickey</t>
        </is>
      </c>
      <c r="C108" t="n">
        <v>0</v>
      </c>
      <c r="D108" t="n">
        <v>91.97</v>
      </c>
      <c r="E108" t="n">
        <v>0.05</v>
      </c>
      <c r="F108">
        <f>C108*D108*(1-E108)</f>
        <v/>
      </c>
      <c r="G108">
        <f>F108*TaxRate</f>
        <v/>
      </c>
      <c r="H108">
        <f>IF(F108&gt;=Assumptions!$B$2,"High",IF(F108&gt;=Assumptions!$B$2/5,"Mid","Low"))</f>
        <v/>
      </c>
      <c r="I108">
        <f>F108/SUM($F$2:$F$201)</f>
        <v/>
      </c>
      <c r="J108">
        <f>SUMIF($A$2:$A$201,A108,$F$2:$F$201)</f>
        <v/>
      </c>
      <c r="K108">
        <f>F108/J108</f>
        <v/>
      </c>
      <c r="L108">
        <f>A108&amp;"-"&amp;B108&amp;" x"&amp;C108</f>
        <v/>
      </c>
      <c r="M108">
        <f>IFERROR(ROUND((F108-G108)/F108,4),0)</f>
        <v/>
      </c>
      <c r="N108">
        <f>UPPER(LEFT(B108,3))&amp;MOD(C108,7)</f>
        <v/>
      </c>
      <c r="O108">
        <f>SUMIFS($C$2:$C$201,$A$2:$A$201,A108,$B$2:$B$201,B108)</f>
        <v/>
      </c>
      <c r="P108">
        <f>VLOOKUP(B108,Products!$A$2:$B$6,2,FALSE)</f>
        <v/>
      </c>
      <c r="Q108">
        <f>Q107+F108</f>
        <v/>
      </c>
    </row>
    <row r="109">
      <c r="A109" t="inlineStr">
        <is>
          <t>Central</t>
        </is>
      </c>
      <c r="B109" t="inlineStr">
        <is>
          <t>Gizmo</t>
        </is>
      </c>
      <c r="C109" t="n">
        <v>15</v>
      </c>
      <c r="D109" t="n">
        <v>6.24</v>
      </c>
      <c r="E109" t="n">
        <v>0.05</v>
      </c>
      <c r="F109">
        <f>C109*D109*(1-E109)</f>
        <v/>
      </c>
      <c r="G109">
        <f>F109*TaxRate</f>
        <v/>
      </c>
      <c r="H109">
        <f>IF(F109&gt;=Assumptions!$B$2,"High",IF(F109&gt;=Assumptions!$B$2/5,"Mid","Low"))</f>
        <v/>
      </c>
      <c r="I109">
        <f>F109/SUM($F$2:$F$201)</f>
        <v/>
      </c>
      <c r="J109">
        <f>SUMIF($A$2:$A$201,A109,$F$2:$F$201)</f>
        <v/>
      </c>
      <c r="K109">
        <f>F109/J109</f>
        <v/>
      </c>
      <c r="L109">
        <f>A109&amp;"-"&amp;B109&amp;" x"&amp;C109</f>
        <v/>
      </c>
      <c r="M109">
        <f>IFERROR(ROUND((F109-G109)/F109,4),0)</f>
        <v/>
      </c>
      <c r="N109">
        <f>UPPER(LEFT(B109,3))&amp;MOD(C109,7)</f>
        <v/>
      </c>
      <c r="O109">
        <f>SUMIFS($C$2:$C$201,$A$2:$A$201,A109,$B$2:$B$201,B109)</f>
        <v/>
      </c>
      <c r="P109">
        <f>VLOOKUP(B109,Products!$A$2:$B$6,2,FALSE)</f>
        <v/>
      </c>
      <c r="Q109">
        <f>Q108+F109</f>
        <v/>
      </c>
    </row>
    <row r="110">
      <c r="A110" t="inlineStr">
        <is>
          <t>West</t>
        </is>
      </c>
      <c r="B110" t="inlineStr">
        <is>
          <t>Gizmo</t>
        </is>
      </c>
      <c r="C110" t="n">
        <v>11</v>
      </c>
      <c r="D110" t="n">
        <v>6.16</v>
      </c>
      <c r="E110" t="n">
        <v>0.1</v>
      </c>
      <c r="F110">
        <f>C110*D110*(1-E110)</f>
        <v/>
      </c>
      <c r="G110">
        <f>F110*TaxRate</f>
        <v/>
      </c>
      <c r="H110">
        <f>IF(F110&gt;=Assumptions!$B$2,"High",IF(F110&gt;=Assumptions!$B$2/5,"Mid","Low"))</f>
        <v/>
      </c>
      <c r="I110">
        <f>F110/SUM($F$2:$F$201)</f>
        <v/>
      </c>
      <c r="J110">
        <f>SUMIF($A$2:$A$201,A110,$F$2:$F$201)</f>
        <v/>
      </c>
      <c r="K110">
        <f>F110/J110</f>
        <v/>
      </c>
      <c r="L110">
        <f>A110&amp;"-"&amp;B110&amp;" x"&amp;C110</f>
        <v/>
      </c>
      <c r="M110">
        <f>IFERROR(ROUND((F110-G110)/F110,4),0)</f>
        <v/>
      </c>
      <c r="N110">
        <f>UPPER(LEFT(B110,3))&amp;MOD(C110,7)</f>
        <v/>
      </c>
      <c r="O110">
        <f>SUMIFS($C$2:$C$201,$A$2:$A$201,A110,$B$2:$B$201,B110)</f>
        <v/>
      </c>
      <c r="P110">
        <f>VLOOKUP(B110,Products!$A$2:$B$6,2,FALSE)</f>
        <v/>
      </c>
      <c r="Q110">
        <f>Q109+F110</f>
        <v/>
      </c>
    </row>
    <row r="111">
      <c r="A111" t="inlineStr">
        <is>
          <t>East</t>
        </is>
      </c>
      <c r="B111" t="inlineStr">
        <is>
          <t>Doohickey</t>
        </is>
      </c>
      <c r="C111" t="n">
        <v>17</v>
      </c>
      <c r="D111" t="n">
        <v>99.08</v>
      </c>
      <c r="E111" t="n">
        <v>0</v>
      </c>
      <c r="F111">
        <f>C111*D111*(1-E111)</f>
        <v/>
      </c>
      <c r="G111">
        <f>F111*TaxRate</f>
        <v/>
      </c>
      <c r="H111">
        <f>IF(F111&gt;=Assumptions!$B$2,"High",IF(F111&gt;=Assumptions!$B$2/5,"Mid","Low"))</f>
        <v/>
      </c>
      <c r="I111">
        <f>F111/SUM($F$2:$F$201)</f>
        <v/>
      </c>
      <c r="J111">
        <f>SUMIF($A$2:$A$201,A111,$F$2:$F$201)</f>
        <v/>
      </c>
      <c r="K111">
        <f>F111/J111</f>
        <v/>
      </c>
      <c r="L111">
        <f>A111&amp;"-"&amp;B111&amp;" x"&amp;C111</f>
        <v/>
      </c>
      <c r="M111">
        <f>IFERROR(ROUND((F111-G111)/F111,4),0)</f>
        <v/>
      </c>
      <c r="N111">
        <f>UPPER(LEFT(B111,3))&amp;MOD(C111,7)</f>
        <v/>
      </c>
      <c r="O111">
        <f>SUMIFS($C$2:$C$201,$A$2:$A$201,A111,$B$2:$B$201,B111)</f>
        <v/>
      </c>
      <c r="P111">
        <f>VLOOKUP(B111,Products!$A$2:$B$6,2,FALSE)</f>
        <v/>
      </c>
      <c r="Q111">
        <f>Q110+F111</f>
        <v/>
      </c>
    </row>
    <row r="112">
      <c r="A112" t="inlineStr">
        <is>
          <t>West</t>
        </is>
      </c>
      <c r="B112" t="inlineStr">
        <is>
          <t>Sprocket</t>
        </is>
      </c>
      <c r="C112" t="n">
        <v>49</v>
      </c>
      <c r="D112" t="n">
        <v>2.64</v>
      </c>
      <c r="E112" t="n">
        <v>0.05</v>
      </c>
      <c r="F112">
        <f>C112*D112*(1-E112)</f>
        <v/>
      </c>
      <c r="G112">
        <f>F112*TaxRate</f>
        <v/>
      </c>
      <c r="H112">
        <f>IF(F112&gt;=Assumptions!$B$2,"High",IF(F112&gt;=Assumptions!$B$2/5,"Mid","Low"))</f>
        <v/>
      </c>
      <c r="I112">
        <f>F112/SUM($F$2:$F$201)</f>
        <v/>
      </c>
      <c r="J112">
        <f>SUMIF($A$2:$A$201,A112,$F$2:$F$201)</f>
        <v/>
      </c>
      <c r="K112">
        <f>F112/J112</f>
        <v/>
      </c>
      <c r="L112">
        <f>A112&amp;"-"&amp;B112&amp;" x"&amp;C112</f>
        <v/>
      </c>
      <c r="M112">
        <f>IFERROR(ROUND((F112-G112)/F112,4),0)</f>
        <v/>
      </c>
      <c r="N112">
        <f>UPPER(LEFT(B112,3))&amp;MOD(C112,7)</f>
        <v/>
      </c>
      <c r="O112">
        <f>SUMIFS($C$2:$C$201,$A$2:$A$201,A112,$B$2:$B$201,B112)</f>
        <v/>
      </c>
      <c r="P112">
        <f>VLOOKUP(B112,Products!$A$2:$B$6,2,FALSE)</f>
        <v/>
      </c>
      <c r="Q112">
        <f>Q111+F112</f>
        <v/>
      </c>
    </row>
    <row r="113">
      <c r="A113" t="inlineStr">
        <is>
          <t>East</t>
        </is>
      </c>
      <c r="B113" t="inlineStr">
        <is>
          <t>Gadget</t>
        </is>
      </c>
      <c r="C113" t="n">
        <v>25</v>
      </c>
      <c r="D113" t="n">
        <v>41.04</v>
      </c>
      <c r="E113" t="n">
        <v>0.1</v>
      </c>
      <c r="F113">
        <f>C113*D113*(1-E113)</f>
        <v/>
      </c>
      <c r="G113">
        <f>F113*TaxRate</f>
        <v/>
      </c>
      <c r="H113">
        <f>IF(F113&gt;=Assumptions!$B$2,"High",IF(F113&gt;=Assumptions!$B$2/5,"Mid","Low"))</f>
        <v/>
      </c>
      <c r="I113">
        <f>F113/SUM($F$2:$F$201)</f>
        <v/>
      </c>
      <c r="J113">
        <f>SUMIF($A$2:$A$201,A113,$F$2:$F$201)</f>
        <v/>
      </c>
      <c r="K113">
        <f>F113/J113</f>
        <v/>
      </c>
      <c r="L113">
        <f>A113&amp;"-"&amp;B113&amp;" x"&amp;C113</f>
        <v/>
      </c>
      <c r="M113">
        <f>IFERROR(ROUND((F113-G113)/F113,4),0)</f>
        <v/>
      </c>
      <c r="N113">
        <f>UPPER(LEFT(B113,3))&amp;MOD(C113,7)</f>
        <v/>
      </c>
      <c r="O113">
        <f>SUMIFS($C$2:$C$201,$A$2:$A$201,A113,$B$2:$B$201,B113)</f>
        <v/>
      </c>
      <c r="P113">
        <f>VLOOKUP(B113,Products!$A$2:$B$6,2,FALSE)</f>
        <v/>
      </c>
      <c r="Q113">
        <f>Q112+F113</f>
        <v/>
      </c>
    </row>
    <row r="114">
      <c r="A114" t="inlineStr">
        <is>
          <t>East</t>
        </is>
      </c>
      <c r="B114" t="inlineStr">
        <is>
          <t>Gizmo</t>
        </is>
      </c>
      <c r="C114" t="n">
        <v>19</v>
      </c>
      <c r="D114" t="n">
        <v>7.53</v>
      </c>
      <c r="F114">
        <f>C114*D114*(1-E114)</f>
        <v/>
      </c>
      <c r="G114">
        <f>F114*TaxRate</f>
        <v/>
      </c>
      <c r="H114">
        <f>IF(F114&gt;=Assumptions!$B$2,"High",IF(F114&gt;=Assumptions!$B$2/5,"Mid","Low"))</f>
        <v/>
      </c>
      <c r="I114">
        <f>F114/SUM($F$2:$F$201)</f>
        <v/>
      </c>
      <c r="J114">
        <f>SUMIF($A$2:$A$201,A114,$F$2:$F$201)</f>
        <v/>
      </c>
      <c r="K114">
        <f>F114/J114</f>
        <v/>
      </c>
      <c r="L114">
        <f>A114&amp;"-"&amp;B114&amp;" x"&amp;C114</f>
        <v/>
      </c>
      <c r="M114">
        <f>IFERROR(ROUND((F114-G114)/F114,4),0)</f>
        <v/>
      </c>
      <c r="N114">
        <f>UPPER(LEFT(B114,3))&amp;MOD(C114,7)</f>
        <v/>
      </c>
      <c r="O114">
        <f>SUMIFS($C$2:$C$201,$A$2:$A$201,A114,$B$2:$B$201,B114)</f>
        <v/>
      </c>
      <c r="P114">
        <f>VLOOKUP(B114,Products!$A$2:$B$6,2,FALSE)</f>
        <v/>
      </c>
      <c r="Q114">
        <f>Q113+F114</f>
        <v/>
      </c>
    </row>
    <row r="115">
      <c r="A115" t="inlineStr">
        <is>
          <t>Central</t>
        </is>
      </c>
      <c r="B115" t="inlineStr">
        <is>
          <t>Sprocket</t>
        </is>
      </c>
      <c r="C115" t="n">
        <v>54</v>
      </c>
      <c r="D115" t="n">
        <v>3.33</v>
      </c>
      <c r="E115" t="n">
        <v>0.15</v>
      </c>
      <c r="F115">
        <f>C115*D115*(1-E115)</f>
        <v/>
      </c>
      <c r="G115">
        <f>F115*TaxRate</f>
        <v/>
      </c>
      <c r="H115">
        <f>IF(F115&gt;=Assumptions!$B$2,"High",IF(F115&gt;=Assumptions!$B$2/5,"Mid","Low"))</f>
        <v/>
      </c>
      <c r="I115">
        <f>F115/SUM($F$2:$F$201)</f>
        <v/>
      </c>
      <c r="J115">
        <f>SUMIF($A$2:$A$201,A115,$F$2:$F$201)</f>
        <v/>
      </c>
      <c r="K115">
        <f>F115/J115</f>
        <v/>
      </c>
      <c r="L115">
        <f>A115&amp;"-"&amp;B115&amp;" x"&amp;C115</f>
        <v/>
      </c>
      <c r="M115">
        <f>IFERROR(ROUND((F115-G115)/F115,4),0)</f>
        <v/>
      </c>
      <c r="N115">
        <f>UPPER(LEFT(B115,3))&amp;MOD(C115,7)</f>
        <v/>
      </c>
      <c r="O115">
        <f>SUMIFS($C$2:$C$201,$A$2:$A$201,A115,$B$2:$B$201,B115)</f>
        <v/>
      </c>
      <c r="P115">
        <f>VLOOKUP(B115,Products!$A$2:$B$6,2,FALSE)</f>
        <v/>
      </c>
      <c r="Q115">
        <f>Q114+F115</f>
        <v/>
      </c>
    </row>
    <row r="116">
      <c r="A116" t="inlineStr">
        <is>
          <t>South</t>
        </is>
      </c>
      <c r="B116" t="inlineStr">
        <is>
          <t>Gizmo</t>
        </is>
      </c>
      <c r="C116" t="n">
        <v>46</v>
      </c>
      <c r="D116" t="n">
        <v>8.300000000000001</v>
      </c>
      <c r="E116" t="n">
        <v>0</v>
      </c>
      <c r="F116">
        <f>C116*D116*(1-E116)</f>
        <v/>
      </c>
      <c r="G116">
        <f>F116*TaxRate</f>
        <v/>
      </c>
      <c r="H116">
        <f>IF(F116&gt;=Assumptions!$B$2,"High",IF(F116&gt;=Assumptions!$B$2/5,"Mid","Low"))</f>
        <v/>
      </c>
      <c r="I116">
        <f>F116/SUM($F$2:$F$201)</f>
        <v/>
      </c>
      <c r="J116">
        <f>SUMIF($A$2:$A$201,A116,$F$2:$F$201)</f>
        <v/>
      </c>
      <c r="K116">
        <f>F116/J116</f>
        <v/>
      </c>
      <c r="L116">
        <f>A116&amp;"-"&amp;B116&amp;" x"&amp;C116</f>
        <v/>
      </c>
      <c r="M116">
        <f>IFERROR(ROUND((F116-G116)/F116,4),0)</f>
        <v/>
      </c>
      <c r="N116">
        <f>UPPER(LEFT(B116,3))&amp;MOD(C116,7)</f>
        <v/>
      </c>
      <c r="O116">
        <f>SUMIFS($C$2:$C$201,$A$2:$A$201,A116,$B$2:$B$201,B116)</f>
        <v/>
      </c>
      <c r="P116">
        <f>VLOOKUP(B116,Products!$A$2:$B$6,2,FALSE)</f>
        <v/>
      </c>
      <c r="Q116">
        <f>Q115+F116</f>
        <v/>
      </c>
    </row>
    <row r="117">
      <c r="A117" t="inlineStr">
        <is>
          <t>North</t>
        </is>
      </c>
      <c r="B117" t="inlineStr">
        <is>
          <t>Sprocket</t>
        </is>
      </c>
      <c r="C117" t="n">
        <v>41</v>
      </c>
      <c r="D117" t="n">
        <v>2.77</v>
      </c>
      <c r="E117" t="n">
        <v>0.15</v>
      </c>
      <c r="F117">
        <f>C117*D117*(1-E117)</f>
        <v/>
      </c>
      <c r="G117">
        <f>F117*TaxRate</f>
        <v/>
      </c>
      <c r="H117">
        <f>IF(F117&gt;=Assumptions!$B$2,"High",IF(F117&gt;=Assumptions!$B$2/5,"Mid","Low"))</f>
        <v/>
      </c>
      <c r="I117">
        <f>F117/SUM($F$2:$F$201)</f>
        <v/>
      </c>
      <c r="J117">
        <f>SUMIF($A$2:$A$201,A117,$F$2:$F$201)</f>
        <v/>
      </c>
      <c r="K117">
        <f>F117/J117</f>
        <v/>
      </c>
      <c r="L117">
        <f>A117&amp;"-"&amp;B117&amp;" x"&amp;C117</f>
        <v/>
      </c>
      <c r="M117">
        <f>IFERROR(ROUND((F117-G117)/F117,4),0)</f>
        <v/>
      </c>
      <c r="N117">
        <f>UPPER(LEFT(B117,3))&amp;MOD(C117,7)</f>
        <v/>
      </c>
      <c r="O117">
        <f>SUMIFS($C$2:$C$201,$A$2:$A$201,A117,$B$2:$B$201,B117)</f>
        <v/>
      </c>
      <c r="P117">
        <f>VLOOKUP(B117,Products!$A$2:$B$6,2,FALSE)</f>
        <v/>
      </c>
      <c r="Q117">
        <f>Q116+F117</f>
        <v/>
      </c>
    </row>
    <row r="118">
      <c r="A118" t="inlineStr">
        <is>
          <t>South</t>
        </is>
      </c>
      <c r="B118" t="inlineStr">
        <is>
          <t>Sprocket</t>
        </is>
      </c>
      <c r="C118" t="n">
        <v>8</v>
      </c>
      <c r="D118" t="n">
        <v>3.48</v>
      </c>
      <c r="E118" t="n">
        <v>0.15</v>
      </c>
      <c r="F118">
        <f>C118*D118*(1-E118)</f>
        <v/>
      </c>
      <c r="G118">
        <f>F118*TaxRate</f>
        <v/>
      </c>
      <c r="H118">
        <f>IF(F118&gt;=Assumptions!$B$2,"High",IF(F118&gt;=Assumptions!$B$2/5,"Mid","Low"))</f>
        <v/>
      </c>
      <c r="I118">
        <f>F118/SUM($F$2:$F$201)</f>
        <v/>
      </c>
      <c r="J118">
        <f>SUMIF($A$2:$A$201,A118,$F$2:$F$201)</f>
        <v/>
      </c>
      <c r="K118">
        <f>F118/J118</f>
        <v/>
      </c>
      <c r="L118">
        <f>A118&amp;"-"&amp;B118&amp;" x"&amp;C118</f>
        <v/>
      </c>
      <c r="M118">
        <f>IFERROR(ROUND((F118-G118)/F118,4),0)</f>
        <v/>
      </c>
      <c r="N118">
        <f>UPPER(LEFT(B118,3))&amp;MOD(C118,7)</f>
        <v/>
      </c>
      <c r="O118">
        <f>SUMIFS($C$2:$C$201,$A$2:$A$201,A118,$B$2:$B$201,B118)</f>
        <v/>
      </c>
      <c r="P118">
        <f>VLOOKUP(B118,Products!$A$2:$B$6,2,FALSE)</f>
        <v/>
      </c>
      <c r="Q118">
        <f>Q117+F118</f>
        <v/>
      </c>
    </row>
    <row r="119">
      <c r="A119" t="inlineStr">
        <is>
          <t>Central</t>
        </is>
      </c>
      <c r="B119" t="inlineStr">
        <is>
          <t>Widget</t>
        </is>
      </c>
      <c r="C119" t="n">
        <v>52</v>
      </c>
      <c r="D119" t="n">
        <v>13.2</v>
      </c>
      <c r="E119" t="n">
        <v>0</v>
      </c>
      <c r="F119">
        <f>C119*D119*(1-E119)</f>
        <v/>
      </c>
      <c r="G119">
        <f>F119*TaxRate</f>
        <v/>
      </c>
      <c r="H119">
        <f>IF(F119&gt;=Assumptions!$B$2,"High",IF(F119&gt;=Assumptions!$B$2/5,"Mid","Low"))</f>
        <v/>
      </c>
      <c r="I119">
        <f>F119/SUM($F$2:$F$201)</f>
        <v/>
      </c>
      <c r="J119">
        <f>SUMIF($A$2:$A$201,A119,$F$2:$F$201)</f>
        <v/>
      </c>
      <c r="K119">
        <f>F119/J119</f>
        <v/>
      </c>
      <c r="L119">
        <f>A119&amp;"-"&amp;B119&amp;" x"&amp;C119</f>
        <v/>
      </c>
      <c r="M119">
        <f>IFERROR(ROUND((F119-G119)/F119,4),0)</f>
        <v/>
      </c>
      <c r="N119">
        <f>UPPER(LEFT(B119,3))&amp;MOD(C119,7)</f>
        <v/>
      </c>
      <c r="O119">
        <f>SUMIFS($C$2:$C$201,$A$2:$A$201,A119,$B$2:$B$201,B119)</f>
        <v/>
      </c>
      <c r="P119">
        <f>VLOOKUP(B119,Products!$A$2:$B$6,2,FALSE)</f>
        <v/>
      </c>
      <c r="Q119">
        <f>Q118+F119</f>
        <v/>
      </c>
    </row>
    <row r="120">
      <c r="A120" t="inlineStr">
        <is>
          <t>East</t>
        </is>
      </c>
      <c r="B120" t="inlineStr">
        <is>
          <t>Widget</t>
        </is>
      </c>
      <c r="C120" t="n">
        <v>2</v>
      </c>
      <c r="D120" t="n">
        <v>11.12</v>
      </c>
      <c r="E120" t="n">
        <v>0.05</v>
      </c>
      <c r="F120">
        <f>C120*D120*(1-E120)</f>
        <v/>
      </c>
      <c r="G120">
        <f>F120*TaxRate</f>
        <v/>
      </c>
      <c r="H120">
        <f>IF(F120&gt;=Assumptions!$B$2,"High",IF(F120&gt;=Assumptions!$B$2/5,"Mid","Low"))</f>
        <v/>
      </c>
      <c r="I120">
        <f>F120/SUM($F$2:$F$201)</f>
        <v/>
      </c>
      <c r="J120">
        <f>SUMIF($A$2:$A$201,A120,$F$2:$F$201)</f>
        <v/>
      </c>
      <c r="K120">
        <f>F120/J120</f>
        <v/>
      </c>
      <c r="L120">
        <f>A120&amp;"-"&amp;B120&amp;" x"&amp;C120</f>
        <v/>
      </c>
      <c r="M120">
        <f>IFERROR(ROUND((F120-G120)/F120,4),0)</f>
        <v/>
      </c>
      <c r="N120">
        <f>UPPER(LEFT(B120,3))&amp;MOD(C120,7)</f>
        <v/>
      </c>
      <c r="O120">
        <f>SUMIFS($C$2:$C$201,$A$2:$A$201,A120,$B$2:$B$201,B120)</f>
        <v/>
      </c>
      <c r="P120">
        <f>VLOOKUP(B120,Products!$A$2:$B$6,2,FALSE)</f>
        <v/>
      </c>
      <c r="Q120">
        <f>Q119+F120</f>
        <v/>
      </c>
    </row>
    <row r="121">
      <c r="A121" t="inlineStr">
        <is>
          <t>East</t>
        </is>
      </c>
      <c r="B121" t="inlineStr">
        <is>
          <t>Doohickey</t>
        </is>
      </c>
      <c r="C121" t="n">
        <v>53</v>
      </c>
      <c r="D121" t="n">
        <v>97.56</v>
      </c>
      <c r="F121">
        <f>C121*D121*(1-E121)</f>
        <v/>
      </c>
      <c r="G121">
        <f>F121*TaxRate</f>
        <v/>
      </c>
      <c r="H121">
        <f>IF(F121&gt;=Assumptions!$B$2,"High",IF(F121&gt;=Assumptions!$B$2/5,"Mid","Low"))</f>
        <v/>
      </c>
      <c r="I121">
        <f>F121/SUM($F$2:$F$201)</f>
        <v/>
      </c>
      <c r="J121">
        <f>SUMIF($A$2:$A$201,A121,$F$2:$F$201)</f>
        <v/>
      </c>
      <c r="K121">
        <f>F121/J121</f>
        <v/>
      </c>
      <c r="L121">
        <f>A121&amp;"-"&amp;B121&amp;" x"&amp;C121</f>
        <v/>
      </c>
      <c r="M121">
        <f>IFERROR(ROUND((F121-G121)/F121,4),0)</f>
        <v/>
      </c>
      <c r="N121">
        <f>UPPER(LEFT(B121,3))&amp;MOD(C121,7)</f>
        <v/>
      </c>
      <c r="O121">
        <f>SUMIFS($C$2:$C$201,$A$2:$A$201,A121,$B$2:$B$201,B121)</f>
        <v/>
      </c>
      <c r="P121">
        <f>VLOOKUP(B121,Products!$A$2:$B$6,2,FALSE)</f>
        <v/>
      </c>
      <c r="Q121">
        <f>Q120+F121</f>
        <v/>
      </c>
    </row>
    <row r="122">
      <c r="A122" t="inlineStr">
        <is>
          <t>East</t>
        </is>
      </c>
      <c r="B122" t="inlineStr">
        <is>
          <t>Sprocket</t>
        </is>
      </c>
      <c r="C122" t="n">
        <v>43</v>
      </c>
      <c r="D122" t="n">
        <v>2.86</v>
      </c>
      <c r="E122" t="n">
        <v>0.05</v>
      </c>
      <c r="F122">
        <f>C122*D122*(1-E122)</f>
        <v/>
      </c>
      <c r="G122">
        <f>F122*TaxRate</f>
        <v/>
      </c>
      <c r="H122">
        <f>IF(F122&gt;=Assumptions!$B$2,"High",IF(F122&gt;=Assumptions!$B$2/5,"Mid","Low"))</f>
        <v/>
      </c>
      <c r="I122">
        <f>F122/SUM($F$2:$F$201)</f>
        <v/>
      </c>
      <c r="J122">
        <f>SUMIF($A$2:$A$201,A122,$F$2:$F$201)</f>
        <v/>
      </c>
      <c r="K122">
        <f>F122/J122</f>
        <v/>
      </c>
      <c r="L122">
        <f>A122&amp;"-"&amp;B122&amp;" x"&amp;C122</f>
        <v/>
      </c>
      <c r="M122">
        <f>IFERROR(ROUND((F122-G122)/F122,4),0)</f>
        <v/>
      </c>
      <c r="N122">
        <f>UPPER(LEFT(B122,3))&amp;MOD(C122,7)</f>
        <v/>
      </c>
      <c r="O122">
        <f>SUMIFS($C$2:$C$201,$A$2:$A$201,A122,$B$2:$B$201,B122)</f>
        <v/>
      </c>
      <c r="P122">
        <f>VLOOKUP(B122,Products!$A$2:$B$6,2,FALSE)</f>
        <v/>
      </c>
      <c r="Q122">
        <f>Q121+F122</f>
        <v/>
      </c>
    </row>
    <row r="123">
      <c r="A123" t="inlineStr">
        <is>
          <t>East</t>
        </is>
      </c>
      <c r="B123" t="inlineStr">
        <is>
          <t>Doohickey</t>
        </is>
      </c>
      <c r="C123" t="n">
        <v>51</v>
      </c>
      <c r="D123" t="n">
        <v>86.23</v>
      </c>
      <c r="E123" t="n">
        <v>0.15</v>
      </c>
      <c r="F123">
        <f>C123*D123*(1-E123)</f>
        <v/>
      </c>
      <c r="G123">
        <f>F123*TaxRate</f>
        <v/>
      </c>
      <c r="H123">
        <f>IF(F123&gt;=Assumptions!$B$2,"High",IF(F123&gt;=Assumptions!$B$2/5,"Mid","Low"))</f>
        <v/>
      </c>
      <c r="I123">
        <f>F123/SUM($F$2:$F$201)</f>
        <v/>
      </c>
      <c r="J123">
        <f>SUMIF($A$2:$A$201,A123,$F$2:$F$201)</f>
        <v/>
      </c>
      <c r="K123">
        <f>F123/J123</f>
        <v/>
      </c>
      <c r="L123">
        <f>A123&amp;"-"&amp;B123&amp;" x"&amp;C123</f>
        <v/>
      </c>
      <c r="M123">
        <f>IFERROR(ROUND((F123-G123)/F123,4),0)</f>
        <v/>
      </c>
      <c r="N123">
        <f>UPPER(LEFT(B123,3))&amp;MOD(C123,7)</f>
        <v/>
      </c>
      <c r="O123">
        <f>SUMIFS($C$2:$C$201,$A$2:$A$201,A123,$B$2:$B$201,B123)</f>
        <v/>
      </c>
      <c r="P123">
        <f>VLOOKUP(B123,Products!$A$2:$B$6,2,FALSE)</f>
        <v/>
      </c>
      <c r="Q123">
        <f>Q122+F123</f>
        <v/>
      </c>
    </row>
    <row r="124">
      <c r="A124" t="inlineStr">
        <is>
          <t>Central</t>
        </is>
      </c>
      <c r="B124" t="inlineStr">
        <is>
          <t>Widget</t>
        </is>
      </c>
      <c r="C124" t="n">
        <v>42</v>
      </c>
      <c r="D124" t="n">
        <v>12.6</v>
      </c>
      <c r="E124" t="n">
        <v>0.1</v>
      </c>
      <c r="F124">
        <f>C124*D124*(1-E124)</f>
        <v/>
      </c>
      <c r="G124">
        <f>F124*TaxRate</f>
        <v/>
      </c>
      <c r="H124">
        <f>IF(F124&gt;=Assumptions!$B$2,"High",IF(F124&gt;=Assumptions!$B$2/5,"Mid","Low"))</f>
        <v/>
      </c>
      <c r="I124">
        <f>F124/SUM($F$2:$F$201)</f>
        <v/>
      </c>
      <c r="J124">
        <f>SUMIF($A$2:$A$201,A124,$F$2:$F$201)</f>
        <v/>
      </c>
      <c r="K124">
        <f>F124/J124</f>
        <v/>
      </c>
      <c r="L124">
        <f>A124&amp;"-"&amp;B124&amp;" x"&amp;C124</f>
        <v/>
      </c>
      <c r="M124">
        <f>IFERROR(ROUND((F124-G124)/F124,4),0)</f>
        <v/>
      </c>
      <c r="N124">
        <f>UPPER(LEFT(B124,3))&amp;MOD(C124,7)</f>
        <v/>
      </c>
      <c r="O124">
        <f>SUMIFS($C$2:$C$201,$A$2:$A$201,A124,$B$2:$B$201,B124)</f>
        <v/>
      </c>
      <c r="P124">
        <f>VLOOKUP(B124,Products!$A$2:$B$6,2,FALSE)</f>
        <v/>
      </c>
      <c r="Q124">
        <f>Q123+F124</f>
        <v/>
      </c>
    </row>
    <row r="125">
      <c r="A125" t="inlineStr">
        <is>
          <t>North</t>
        </is>
      </c>
      <c r="B125" t="inlineStr">
        <is>
          <t>Widget</t>
        </is>
      </c>
      <c r="C125" t="n">
        <v>54</v>
      </c>
      <c r="D125" t="n">
        <v>11.62</v>
      </c>
      <c r="E125" t="n">
        <v>0</v>
      </c>
      <c r="F125">
        <f>C125*D125*(1-E125)</f>
        <v/>
      </c>
      <c r="G125">
        <f>F125*TaxRate</f>
        <v/>
      </c>
      <c r="H125">
        <f>IF(F125&gt;=Assumptions!$B$2,"High",IF(F125&gt;=Assumptions!$B$2/5,"Mid","Low"))</f>
        <v/>
      </c>
      <c r="I125">
        <f>F125/SUM($F$2:$F$201)</f>
        <v/>
      </c>
      <c r="J125">
        <f>SUMIF($A$2:$A$201,A125,$F$2:$F$201)</f>
        <v/>
      </c>
      <c r="K125">
        <f>F125/J125</f>
        <v/>
      </c>
      <c r="L125">
        <f>A125&amp;"-"&amp;B125&amp;" x"&amp;C125</f>
        <v/>
      </c>
      <c r="M125">
        <f>IFERROR(ROUND((F125-G125)/F125,4),0)</f>
        <v/>
      </c>
      <c r="N125">
        <f>UPPER(LEFT(B125,3))&amp;MOD(C125,7)</f>
        <v/>
      </c>
      <c r="O125">
        <f>SUMIFS($C$2:$C$201,$A$2:$A$201,A125,$B$2:$B$201,B125)</f>
        <v/>
      </c>
      <c r="P125">
        <f>VLOOKUP(B125,Products!$A$2:$B$6,2,FALSE)</f>
        <v/>
      </c>
      <c r="Q125">
        <f>Q124+F125</f>
        <v/>
      </c>
    </row>
    <row r="126">
      <c r="A126" t="inlineStr">
        <is>
          <t>West</t>
        </is>
      </c>
      <c r="B126" t="inlineStr">
        <is>
          <t>Doohickey</t>
        </is>
      </c>
      <c r="C126" t="n">
        <v>31</v>
      </c>
      <c r="D126" t="n">
        <v>109.26</v>
      </c>
      <c r="F126">
        <f>C126*D126*(1-E126)</f>
        <v/>
      </c>
      <c r="G126">
        <f>F126*TaxRate</f>
        <v/>
      </c>
      <c r="H126">
        <f>IF(F126&gt;=Assumptions!$B$2,"High",IF(F126&gt;=Assumptions!$B$2/5,"Mid","Low"))</f>
        <v/>
      </c>
      <c r="I126">
        <f>F126/SUM($F$2:$F$201)</f>
        <v/>
      </c>
      <c r="J126">
        <f>SUMIF($A$2:$A$201,A126,$F$2:$F$201)</f>
        <v/>
      </c>
      <c r="K126">
        <f>F126/J126</f>
        <v/>
      </c>
      <c r="L126">
        <f>A126&amp;"-"&amp;B126&amp;" x"&amp;C126</f>
        <v/>
      </c>
      <c r="M126">
        <f>IFERROR(ROUND((F126-G126)/F126,4),0)</f>
        <v/>
      </c>
      <c r="N126">
        <f>UPPER(LEFT(B126,3))&amp;MOD(C126,7)</f>
        <v/>
      </c>
      <c r="O126">
        <f>SUMIFS($C$2:$C$201,$A$2:$A$201,A126,$B$2:$B$201,B126)</f>
        <v/>
      </c>
      <c r="P126">
        <f>VLOOKUP(B126,Products!$A$2:$B$6,2,FALSE)</f>
        <v/>
      </c>
      <c r="Q126">
        <f>Q125+F126</f>
        <v/>
      </c>
    </row>
    <row r="127">
      <c r="A127" t="inlineStr">
        <is>
          <t>South</t>
        </is>
      </c>
      <c r="B127" t="inlineStr">
        <is>
          <t>Gizmo</t>
        </is>
      </c>
      <c r="C127" t="n">
        <v>49</v>
      </c>
      <c r="D127" t="n">
        <v>6.26</v>
      </c>
      <c r="E127" t="n">
        <v>0</v>
      </c>
      <c r="F127">
        <f>C127*D127*(1-E127)</f>
        <v/>
      </c>
      <c r="G127">
        <f>F127*TaxRate</f>
        <v/>
      </c>
      <c r="H127">
        <f>IF(F127&gt;=Assumptions!$B$2,"High",IF(F127&gt;=Assumptions!$B$2/5,"Mid","Low"))</f>
        <v/>
      </c>
      <c r="I127">
        <f>F127/SUM($F$2:$F$201)</f>
        <v/>
      </c>
      <c r="J127">
        <f>SUMIF($A$2:$A$201,A127,$F$2:$F$201)</f>
        <v/>
      </c>
      <c r="K127">
        <f>F127/J127</f>
        <v/>
      </c>
      <c r="L127">
        <f>A127&amp;"-"&amp;B127&amp;" x"&amp;C127</f>
        <v/>
      </c>
      <c r="M127">
        <f>IFERROR(ROUND((F127-G127)/F127,4),0)</f>
        <v/>
      </c>
      <c r="N127">
        <f>UPPER(LEFT(B127,3))&amp;MOD(C127,7)</f>
        <v/>
      </c>
      <c r="O127">
        <f>SUMIFS($C$2:$C$201,$A$2:$A$201,A127,$B$2:$B$201,B127)</f>
        <v/>
      </c>
      <c r="P127">
        <f>VLOOKUP(B127,Products!$A$2:$B$6,2,FALSE)</f>
        <v/>
      </c>
      <c r="Q127">
        <f>Q126+F127</f>
        <v/>
      </c>
    </row>
    <row r="128">
      <c r="A128" t="inlineStr">
        <is>
          <t>East</t>
        </is>
      </c>
      <c r="B128" t="inlineStr">
        <is>
          <t>Sprocket</t>
        </is>
      </c>
      <c r="C128" t="n">
        <v>9</v>
      </c>
      <c r="D128" t="n">
        <v>2.94</v>
      </c>
      <c r="E128" t="n">
        <v>0.05</v>
      </c>
      <c r="F128">
        <f>C128*D128*(1-E128)</f>
        <v/>
      </c>
      <c r="G128">
        <f>F128*TaxRate</f>
        <v/>
      </c>
      <c r="H128">
        <f>IF(F128&gt;=Assumptions!$B$2,"High",IF(F128&gt;=Assumptions!$B$2/5,"Mid","Low"))</f>
        <v/>
      </c>
      <c r="I128">
        <f>F128/SUM($F$2:$F$201)</f>
        <v/>
      </c>
      <c r="J128">
        <f>SUMIF($A$2:$A$201,A128,$F$2:$F$201)</f>
        <v/>
      </c>
      <c r="K128">
        <f>F128/J128</f>
        <v/>
      </c>
      <c r="L128">
        <f>A128&amp;"-"&amp;B128&amp;" x"&amp;C128</f>
        <v/>
      </c>
      <c r="M128">
        <f>IFERROR(ROUND((F128-G128)/F128,4),0)</f>
        <v/>
      </c>
      <c r="N128">
        <f>UPPER(LEFT(B128,3))&amp;MOD(C128,7)</f>
        <v/>
      </c>
      <c r="O128">
        <f>SUMIFS($C$2:$C$201,$A$2:$A$201,A128,$B$2:$B$201,B128)</f>
        <v/>
      </c>
      <c r="P128">
        <f>VLOOKUP(B128,Products!$A$2:$B$6,2,FALSE)</f>
        <v/>
      </c>
      <c r="Q128">
        <f>Q127+F128</f>
        <v/>
      </c>
    </row>
    <row r="129">
      <c r="A129" t="inlineStr">
        <is>
          <t>Central</t>
        </is>
      </c>
      <c r="B129" t="inlineStr">
        <is>
          <t>Sprocket</t>
        </is>
      </c>
      <c r="C129" t="n">
        <v>8</v>
      </c>
      <c r="D129" t="n">
        <v>2.65</v>
      </c>
      <c r="F129">
        <f>C129*D129*(1-E129)</f>
        <v/>
      </c>
      <c r="G129">
        <f>F129*TaxRate</f>
        <v/>
      </c>
      <c r="H129">
        <f>IF(F129&gt;=Assumptions!$B$2,"High",IF(F129&gt;=Assumptions!$B$2/5,"Mid","Low"))</f>
        <v/>
      </c>
      <c r="I129">
        <f>F129/SUM($F$2:$F$201)</f>
        <v/>
      </c>
      <c r="J129">
        <f>SUMIF($A$2:$A$201,A129,$F$2:$F$201)</f>
        <v/>
      </c>
      <c r="K129">
        <f>F129/J129</f>
        <v/>
      </c>
      <c r="L129">
        <f>A129&amp;"-"&amp;B129&amp;" x"&amp;C129</f>
        <v/>
      </c>
      <c r="M129">
        <f>IFERROR(ROUND((F129-G129)/F129,4),0)</f>
        <v/>
      </c>
      <c r="N129">
        <f>UPPER(LEFT(B129,3))&amp;MOD(C129,7)</f>
        <v/>
      </c>
      <c r="O129">
        <f>SUMIFS($C$2:$C$201,$A$2:$A$201,A129,$B$2:$B$201,B129)</f>
        <v/>
      </c>
      <c r="P129">
        <f>VLOOKUP(B129,Products!$A$2:$B$6,2,FALSE)</f>
        <v/>
      </c>
      <c r="Q129">
        <f>Q128+F129</f>
        <v/>
      </c>
    </row>
    <row r="130">
      <c r="A130" t="inlineStr">
        <is>
          <t>South</t>
        </is>
      </c>
      <c r="B130" t="inlineStr">
        <is>
          <t>Gizmo</t>
        </is>
      </c>
      <c r="C130" t="n">
        <v>43</v>
      </c>
      <c r="D130" t="n">
        <v>6.38</v>
      </c>
      <c r="E130" t="n">
        <v>0</v>
      </c>
      <c r="F130">
        <f>C130*D130*(1-E130)</f>
        <v/>
      </c>
      <c r="G130">
        <f>F130*TaxRate</f>
        <v/>
      </c>
      <c r="H130">
        <f>IF(F130&gt;=Assumptions!$B$2,"High",IF(F130&gt;=Assumptions!$B$2/5,"Mid","Low"))</f>
        <v/>
      </c>
      <c r="I130">
        <f>F130/SUM($F$2:$F$201)</f>
        <v/>
      </c>
      <c r="J130">
        <f>SUMIF($A$2:$A$201,A130,$F$2:$F$201)</f>
        <v/>
      </c>
      <c r="K130">
        <f>F130/J130</f>
        <v/>
      </c>
      <c r="L130">
        <f>A130&amp;"-"&amp;B130&amp;" x"&amp;C130</f>
        <v/>
      </c>
      <c r="M130">
        <f>IFERROR(ROUND((F130-G130)/F130,4),0)</f>
        <v/>
      </c>
      <c r="N130">
        <f>UPPER(LEFT(B130,3))&amp;MOD(C130,7)</f>
        <v/>
      </c>
      <c r="O130">
        <f>SUMIFS($C$2:$C$201,$A$2:$A$201,A130,$B$2:$B$201,B130)</f>
        <v/>
      </c>
      <c r="P130">
        <f>VLOOKUP(B130,Products!$A$2:$B$6,2,FALSE)</f>
        <v/>
      </c>
      <c r="Q130">
        <f>Q129+F130</f>
        <v/>
      </c>
    </row>
    <row r="131">
      <c r="A131" t="inlineStr">
        <is>
          <t>South</t>
        </is>
      </c>
      <c r="B131" t="inlineStr">
        <is>
          <t>Gizmo</t>
        </is>
      </c>
      <c r="C131" t="n">
        <v>45</v>
      </c>
      <c r="D131" t="n">
        <v>7.29</v>
      </c>
      <c r="E131" t="n">
        <v>0.1</v>
      </c>
      <c r="F131">
        <f>C131*D131*(1-E131)</f>
        <v/>
      </c>
      <c r="G131">
        <f>F131*TaxRate</f>
        <v/>
      </c>
      <c r="H131">
        <f>IF(F131&gt;=Assumptions!$B$2,"High",IF(F131&gt;=Assumptions!$B$2/5,"Mid","Low"))</f>
        <v/>
      </c>
      <c r="I131">
        <f>F131/SUM($F$2:$F$201)</f>
        <v/>
      </c>
      <c r="J131">
        <f>SUMIF($A$2:$A$201,A131,$F$2:$F$201)</f>
        <v/>
      </c>
      <c r="K131">
        <f>F131/J131</f>
        <v/>
      </c>
      <c r="L131">
        <f>A131&amp;"-"&amp;B131&amp;" x"&amp;C131</f>
        <v/>
      </c>
      <c r="M131">
        <f>IFERROR(ROUND((F131-G131)/F131,4),0)</f>
        <v/>
      </c>
      <c r="N131">
        <f>UPPER(LEFT(B131,3))&amp;MOD(C131,7)</f>
        <v/>
      </c>
      <c r="O131">
        <f>SUMIFS($C$2:$C$201,$A$2:$A$201,A131,$B$2:$B$201,B131)</f>
        <v/>
      </c>
      <c r="P131">
        <f>VLOOKUP(B131,Products!$A$2:$B$6,2,FALSE)</f>
        <v/>
      </c>
      <c r="Q131">
        <f>Q130+F131</f>
        <v/>
      </c>
    </row>
    <row r="132">
      <c r="A132" t="inlineStr">
        <is>
          <t>South</t>
        </is>
      </c>
      <c r="B132" t="inlineStr">
        <is>
          <t>Doohickey</t>
        </is>
      </c>
      <c r="C132" t="n">
        <v>49</v>
      </c>
      <c r="D132" t="n">
        <v>87.67</v>
      </c>
      <c r="E132" t="n">
        <v>0.15</v>
      </c>
      <c r="F132">
        <f>C132*D132*(1-E132)</f>
        <v/>
      </c>
      <c r="G132">
        <f>F132*TaxRate</f>
        <v/>
      </c>
      <c r="H132">
        <f>IF(F132&gt;=Assumptions!$B$2,"High",IF(F132&gt;=Assumptions!$B$2/5,"Mid","Low"))</f>
        <v/>
      </c>
      <c r="I132">
        <f>F132/SUM($F$2:$F$201)</f>
        <v/>
      </c>
      <c r="J132">
        <f>SUMIF($A$2:$A$201,A132,$F$2:$F$201)</f>
        <v/>
      </c>
      <c r="K132">
        <f>F132/J132</f>
        <v/>
      </c>
      <c r="L132">
        <f>A132&amp;"-"&amp;B132&amp;" x"&amp;C132</f>
        <v/>
      </c>
      <c r="M132">
        <f>IFERROR(ROUND((F132-G132)/F132,4),0)</f>
        <v/>
      </c>
      <c r="N132">
        <f>UPPER(LEFT(B132,3))&amp;MOD(C132,7)</f>
        <v/>
      </c>
      <c r="O132">
        <f>SUMIFS($C$2:$C$201,$A$2:$A$201,A132,$B$2:$B$201,B132)</f>
        <v/>
      </c>
      <c r="P132">
        <f>VLOOKUP(B132,Products!$A$2:$B$6,2,FALSE)</f>
        <v/>
      </c>
      <c r="Q132">
        <f>Q131+F132</f>
        <v/>
      </c>
    </row>
    <row r="133">
      <c r="A133" t="inlineStr">
        <is>
          <t>West</t>
        </is>
      </c>
      <c r="B133" t="inlineStr">
        <is>
          <t>Gizmo</t>
        </is>
      </c>
      <c r="C133" t="n">
        <v>5</v>
      </c>
      <c r="D133" t="n">
        <v>8.199999999999999</v>
      </c>
      <c r="F133">
        <f>C133*D133*(1-E133)</f>
        <v/>
      </c>
      <c r="G133">
        <f>F133*TaxRate</f>
        <v/>
      </c>
      <c r="H133">
        <f>IF(F133&gt;=Assumptions!$B$2,"High",IF(F133&gt;=Assumptions!$B$2/5,"Mid","Low"))</f>
        <v/>
      </c>
      <c r="I133">
        <f>F133/SUM($F$2:$F$201)</f>
        <v/>
      </c>
      <c r="J133">
        <f>SUMIF($A$2:$A$201,A133,$F$2:$F$201)</f>
        <v/>
      </c>
      <c r="K133">
        <f>F133/J133</f>
        <v/>
      </c>
      <c r="L133">
        <f>A133&amp;"-"&amp;B133&amp;" x"&amp;C133</f>
        <v/>
      </c>
      <c r="M133">
        <f>IFERROR(ROUND((F133-G133)/F133,4),0)</f>
        <v/>
      </c>
      <c r="N133">
        <f>UPPER(LEFT(B133,3))&amp;MOD(C133,7)</f>
        <v/>
      </c>
      <c r="O133">
        <f>SUMIFS($C$2:$C$201,$A$2:$A$201,A133,$B$2:$B$201,B133)</f>
        <v/>
      </c>
      <c r="P133">
        <f>VLOOKUP(B133,Products!$A$2:$B$6,2,FALSE)</f>
        <v/>
      </c>
      <c r="Q133">
        <f>Q132+F133</f>
        <v/>
      </c>
    </row>
    <row r="134">
      <c r="A134" t="inlineStr">
        <is>
          <t>North</t>
        </is>
      </c>
      <c r="B134" t="inlineStr">
        <is>
          <t>Doohickey</t>
        </is>
      </c>
      <c r="C134" t="n">
        <v>4</v>
      </c>
      <c r="D134" t="n">
        <v>108.5</v>
      </c>
      <c r="E134" t="n">
        <v>0.1</v>
      </c>
      <c r="F134">
        <f>C134*D134*(1-E134)</f>
        <v/>
      </c>
      <c r="G134">
        <f>F134*TaxRate</f>
        <v/>
      </c>
      <c r="H134">
        <f>IF(F134&gt;=Assumptions!$B$2,"High",IF(F134&gt;=Assumptions!$B$2/5,"Mid","Low"))</f>
        <v/>
      </c>
      <c r="I134">
        <f>F134/SUM($F$2:$F$201)</f>
        <v/>
      </c>
      <c r="J134">
        <f>SUMIF($A$2:$A$201,A134,$F$2:$F$201)</f>
        <v/>
      </c>
      <c r="K134">
        <f>F134/J134</f>
        <v/>
      </c>
      <c r="L134">
        <f>A134&amp;"-"&amp;B134&amp;" x"&amp;C134</f>
        <v/>
      </c>
      <c r="M134">
        <f>IFERROR(ROUND((F134-G134)/F134,4),0)</f>
        <v/>
      </c>
      <c r="N134">
        <f>UPPER(LEFT(B134,3))&amp;MOD(C134,7)</f>
        <v/>
      </c>
      <c r="O134">
        <f>SUMIFS($C$2:$C$201,$A$2:$A$201,A134,$B$2:$B$201,B134)</f>
        <v/>
      </c>
      <c r="P134">
        <f>VLOOKUP(B134,Products!$A$2:$B$6,2,FALSE)</f>
        <v/>
      </c>
      <c r="Q134">
        <f>Q133+F134</f>
        <v/>
      </c>
    </row>
    <row r="135">
      <c r="A135" t="inlineStr">
        <is>
          <t>North</t>
        </is>
      </c>
      <c r="B135" t="inlineStr">
        <is>
          <t>Doohickey</t>
        </is>
      </c>
      <c r="C135" t="n">
        <v>13</v>
      </c>
      <c r="D135" t="n">
        <v>111.37</v>
      </c>
      <c r="E135" t="n">
        <v>0</v>
      </c>
      <c r="F135">
        <f>C135*D135*(1-E135)</f>
        <v/>
      </c>
      <c r="G135">
        <f>F135*TaxRate</f>
        <v/>
      </c>
      <c r="H135">
        <f>IF(F135&gt;=Assumptions!$B$2,"High",IF(F135&gt;=Assumptions!$B$2/5,"Mid","Low"))</f>
        <v/>
      </c>
      <c r="I135">
        <f>F135/SUM($F$2:$F$201)</f>
        <v/>
      </c>
      <c r="J135">
        <f>SUMIF($A$2:$A$201,A135,$F$2:$F$201)</f>
        <v/>
      </c>
      <c r="K135">
        <f>F135/J135</f>
        <v/>
      </c>
      <c r="L135">
        <f>A135&amp;"-"&amp;B135&amp;" x"&amp;C135</f>
        <v/>
      </c>
      <c r="M135">
        <f>IFERROR(ROUND((F135-G135)/F135,4),0)</f>
        <v/>
      </c>
      <c r="N135">
        <f>UPPER(LEFT(B135,3))&amp;MOD(C135,7)</f>
        <v/>
      </c>
      <c r="O135">
        <f>SUMIFS($C$2:$C$201,$A$2:$A$201,A135,$B$2:$B$201,B135)</f>
        <v/>
      </c>
      <c r="P135">
        <f>VLOOKUP(B135,Products!$A$2:$B$6,2,FALSE)</f>
        <v/>
      </c>
      <c r="Q135">
        <f>Q134+F135</f>
        <v/>
      </c>
    </row>
    <row r="136">
      <c r="A136" t="inlineStr">
        <is>
          <t>East</t>
        </is>
      </c>
      <c r="B136" t="inlineStr">
        <is>
          <t>Sprocket</t>
        </is>
      </c>
      <c r="C136" t="n">
        <v>5</v>
      </c>
      <c r="D136" t="n">
        <v>2.77</v>
      </c>
      <c r="E136" t="n">
        <v>0.15</v>
      </c>
      <c r="F136">
        <f>C136*D136*(1-E136)</f>
        <v/>
      </c>
      <c r="G136">
        <f>F136*TaxRate</f>
        <v/>
      </c>
      <c r="H136">
        <f>IF(F136&gt;=Assumptions!$B$2,"High",IF(F136&gt;=Assumptions!$B$2/5,"Mid","Low"))</f>
        <v/>
      </c>
      <c r="I136">
        <f>F136/SUM($F$2:$F$201)</f>
        <v/>
      </c>
      <c r="J136">
        <f>SUMIF($A$2:$A$201,A136,$F$2:$F$201)</f>
        <v/>
      </c>
      <c r="K136">
        <f>F136/J136</f>
        <v/>
      </c>
      <c r="L136">
        <f>A136&amp;"-"&amp;B136&amp;" x"&amp;C136</f>
        <v/>
      </c>
      <c r="M136">
        <f>IFERROR(ROUND((F136-G136)/F136,4),0)</f>
        <v/>
      </c>
      <c r="N136">
        <f>UPPER(LEFT(B136,3))&amp;MOD(C136,7)</f>
        <v/>
      </c>
      <c r="O136">
        <f>SUMIFS($C$2:$C$201,$A$2:$A$201,A136,$B$2:$B$201,B136)</f>
        <v/>
      </c>
      <c r="P136">
        <f>VLOOKUP(B136,Products!$A$2:$B$6,2,FALSE)</f>
        <v/>
      </c>
      <c r="Q136">
        <f>Q135+F136</f>
        <v/>
      </c>
    </row>
    <row r="137">
      <c r="A137" t="inlineStr">
        <is>
          <t>North</t>
        </is>
      </c>
      <c r="B137" t="inlineStr">
        <is>
          <t>Gizmo</t>
        </is>
      </c>
      <c r="C137" t="n">
        <v>8</v>
      </c>
      <c r="D137" t="n">
        <v>7.47</v>
      </c>
      <c r="E137" t="n">
        <v>0.15</v>
      </c>
      <c r="F137">
        <f>C137*D137*(1-E137)</f>
        <v/>
      </c>
      <c r="G137">
        <f>F137*TaxRate</f>
        <v/>
      </c>
      <c r="H137">
        <f>IF(F137&gt;=Assumptions!$B$2,"High",IF(F137&gt;=Assumptions!$B$2/5,"Mid","Low"))</f>
        <v/>
      </c>
      <c r="I137">
        <f>F137/SUM($F$2:$F$201)</f>
        <v/>
      </c>
      <c r="J137">
        <f>SUMIF($A$2:$A$201,A137,$F$2:$F$201)</f>
        <v/>
      </c>
      <c r="K137">
        <f>F137/J137</f>
        <v/>
      </c>
      <c r="L137">
        <f>A137&amp;"-"&amp;B137&amp;" x"&amp;C137</f>
        <v/>
      </c>
      <c r="M137">
        <f>IFERROR(ROUND((F137-G137)/F137,4),0)</f>
        <v/>
      </c>
      <c r="N137">
        <f>UPPER(LEFT(B137,3))&amp;MOD(C137,7)</f>
        <v/>
      </c>
      <c r="O137">
        <f>SUMIFS($C$2:$C$201,$A$2:$A$201,A137,$B$2:$B$201,B137)</f>
        <v/>
      </c>
      <c r="P137">
        <f>VLOOKUP(B137,Products!$A$2:$B$6,2,FALSE)</f>
        <v/>
      </c>
      <c r="Q137">
        <f>Q136+F137</f>
        <v/>
      </c>
    </row>
    <row r="138">
      <c r="A138" t="inlineStr">
        <is>
          <t>North</t>
        </is>
      </c>
      <c r="B138" t="inlineStr">
        <is>
          <t>Widget</t>
        </is>
      </c>
      <c r="C138" t="n">
        <v>45</v>
      </c>
      <c r="D138" t="n">
        <v>11.99</v>
      </c>
      <c r="E138" t="n">
        <v>0.1</v>
      </c>
      <c r="F138">
        <f>C138*D138*(1-E138)</f>
        <v/>
      </c>
      <c r="G138">
        <f>F138*TaxRate</f>
        <v/>
      </c>
      <c r="H138">
        <f>IF(F138&gt;=Assumptions!$B$2,"High",IF(F138&gt;=Assumptions!$B$2/5,"Mid","Low"))</f>
        <v/>
      </c>
      <c r="I138">
        <f>F138/SUM($F$2:$F$201)</f>
        <v/>
      </c>
      <c r="J138">
        <f>SUMIF($A$2:$A$201,A138,$F$2:$F$201)</f>
        <v/>
      </c>
      <c r="K138">
        <f>F138/J138</f>
        <v/>
      </c>
      <c r="L138">
        <f>A138&amp;"-"&amp;B138&amp;" x"&amp;C138</f>
        <v/>
      </c>
      <c r="M138">
        <f>IFERROR(ROUND((F138-G138)/F138,4),0)</f>
        <v/>
      </c>
      <c r="N138">
        <f>UPPER(LEFT(B138,3))&amp;MOD(C138,7)</f>
        <v/>
      </c>
      <c r="O138">
        <f>SUMIFS($C$2:$C$201,$A$2:$A$201,A138,$B$2:$B$201,B138)</f>
        <v/>
      </c>
      <c r="P138">
        <f>VLOOKUP(B138,Products!$A$2:$B$6,2,FALSE)</f>
        <v/>
      </c>
      <c r="Q138">
        <f>Q137+F138</f>
        <v/>
      </c>
    </row>
    <row r="139">
      <c r="A139" t="inlineStr">
        <is>
          <t>South</t>
        </is>
      </c>
      <c r="B139" t="inlineStr">
        <is>
          <t>Doohickey</t>
        </is>
      </c>
      <c r="C139" t="n">
        <v>1</v>
      </c>
      <c r="D139" t="n">
        <v>88.87</v>
      </c>
      <c r="E139" t="n">
        <v>0.1</v>
      </c>
      <c r="F139">
        <f>C139*D139*(1-E139)</f>
        <v/>
      </c>
      <c r="G139">
        <f>F139*TaxRate</f>
        <v/>
      </c>
      <c r="H139">
        <f>IF(F139&gt;=Assumptions!$B$2,"High",IF(F139&gt;=Assumptions!$B$2/5,"Mid","Low"))</f>
        <v/>
      </c>
      <c r="I139">
        <f>F139/SUM($F$2:$F$201)</f>
        <v/>
      </c>
      <c r="J139">
        <f>SUMIF($A$2:$A$201,A139,$F$2:$F$201)</f>
        <v/>
      </c>
      <c r="K139">
        <f>F139/J139</f>
        <v/>
      </c>
      <c r="L139">
        <f>A139&amp;"-"&amp;B139&amp;" x"&amp;C139</f>
        <v/>
      </c>
      <c r="M139">
        <f>IFERROR(ROUND((F139-G139)/F139,4),0)</f>
        <v/>
      </c>
      <c r="N139">
        <f>UPPER(LEFT(B139,3))&amp;MOD(C139,7)</f>
        <v/>
      </c>
      <c r="O139">
        <f>SUMIFS($C$2:$C$201,$A$2:$A$201,A139,$B$2:$B$201,B139)</f>
        <v/>
      </c>
      <c r="P139">
        <f>VLOOKUP(B139,Products!$A$2:$B$6,2,FALSE)</f>
        <v/>
      </c>
      <c r="Q139">
        <f>Q138+F139</f>
        <v/>
      </c>
    </row>
    <row r="140">
      <c r="A140" t="inlineStr">
        <is>
          <t>South</t>
        </is>
      </c>
      <c r="B140" t="inlineStr">
        <is>
          <t>Doohickey</t>
        </is>
      </c>
      <c r="C140" t="n">
        <v>19</v>
      </c>
      <c r="D140" t="n">
        <v>105.75</v>
      </c>
      <c r="E140" t="n">
        <v>0.1</v>
      </c>
      <c r="F140">
        <f>C140*D140*(1-E140)</f>
        <v/>
      </c>
      <c r="G140">
        <f>F140*TaxRate</f>
        <v/>
      </c>
      <c r="H140">
        <f>IF(F140&gt;=Assumptions!$B$2,"High",IF(F140&gt;=Assumptions!$B$2/5,"Mid","Low"))</f>
        <v/>
      </c>
      <c r="I140">
        <f>F140/SUM($F$2:$F$201)</f>
        <v/>
      </c>
      <c r="J140">
        <f>SUMIF($A$2:$A$201,A140,$F$2:$F$201)</f>
        <v/>
      </c>
      <c r="K140">
        <f>F140/J140</f>
        <v/>
      </c>
      <c r="L140">
        <f>A140&amp;"-"&amp;B140&amp;" x"&amp;C140</f>
        <v/>
      </c>
      <c r="M140">
        <f>IFERROR(ROUND((F140-G140)/F140,4),0)</f>
        <v/>
      </c>
      <c r="N140">
        <f>UPPER(LEFT(B140,3))&amp;MOD(C140,7)</f>
        <v/>
      </c>
      <c r="O140">
        <f>SUMIFS($C$2:$C$201,$A$2:$A$201,A140,$B$2:$B$201,B140)</f>
        <v/>
      </c>
      <c r="P140">
        <f>VLOOKUP(B140,Products!$A$2:$B$6,2,FALSE)</f>
        <v/>
      </c>
      <c r="Q140">
        <f>Q139+F140</f>
        <v/>
      </c>
    </row>
    <row r="141">
      <c r="A141" t="inlineStr">
        <is>
          <t>North</t>
        </is>
      </c>
      <c r="B141" t="inlineStr">
        <is>
          <t>Doohickey</t>
        </is>
      </c>
      <c r="C141" t="n">
        <v>20</v>
      </c>
      <c r="D141" t="n">
        <v>87.73999999999999</v>
      </c>
      <c r="E141" t="n">
        <v>0.05</v>
      </c>
      <c r="F141">
        <f>C141*D141*(1-E141)</f>
        <v/>
      </c>
      <c r="G141">
        <f>F141*TaxRate</f>
        <v/>
      </c>
      <c r="H141">
        <f>IF(F141&gt;=Assumptions!$B$2,"High",IF(F141&gt;=Assumptions!$B$2/5,"Mid","Low"))</f>
        <v/>
      </c>
      <c r="I141">
        <f>F141/SUM($F$2:$F$201)</f>
        <v/>
      </c>
      <c r="J141">
        <f>SUMIF($A$2:$A$201,A141,$F$2:$F$201)</f>
        <v/>
      </c>
      <c r="K141">
        <f>F141/J141</f>
        <v/>
      </c>
      <c r="L141">
        <f>A141&amp;"-"&amp;B141&amp;" x"&amp;C141</f>
        <v/>
      </c>
      <c r="M141">
        <f>IFERROR(ROUND((F141-G141)/F141,4),0)</f>
        <v/>
      </c>
      <c r="N141">
        <f>UPPER(LEFT(B141,3))&amp;MOD(C141,7)</f>
        <v/>
      </c>
      <c r="O141">
        <f>SUMIFS($C$2:$C$201,$A$2:$A$201,A141,$B$2:$B$201,B141)</f>
        <v/>
      </c>
      <c r="P141">
        <f>VLOOKUP(B141,Products!$A$2:$B$6,2,FALSE)</f>
        <v/>
      </c>
      <c r="Q141">
        <f>Q140+F141</f>
        <v/>
      </c>
    </row>
    <row r="142">
      <c r="A142" t="inlineStr">
        <is>
          <t>East</t>
        </is>
      </c>
      <c r="B142" t="inlineStr">
        <is>
          <t>Gizmo</t>
        </is>
      </c>
      <c r="C142" t="n">
        <v>48</v>
      </c>
      <c r="D142" t="n">
        <v>6.9</v>
      </c>
      <c r="E142" t="n">
        <v>0.1</v>
      </c>
      <c r="F142">
        <f>C142*D142*(1-E142)</f>
        <v/>
      </c>
      <c r="G142">
        <f>F142*TaxRate</f>
        <v/>
      </c>
      <c r="H142">
        <f>IF(F142&gt;=Assumptions!$B$2,"High",IF(F142&gt;=Assumptions!$B$2/5,"Mid","Low"))</f>
        <v/>
      </c>
      <c r="I142">
        <f>F142/SUM($F$2:$F$201)</f>
        <v/>
      </c>
      <c r="J142">
        <f>SUMIF($A$2:$A$201,A142,$F$2:$F$201)</f>
        <v/>
      </c>
      <c r="K142">
        <f>F142/J142</f>
        <v/>
      </c>
      <c r="L142">
        <f>A142&amp;"-"&amp;B142&amp;" x"&amp;C142</f>
        <v/>
      </c>
      <c r="M142">
        <f>IFERROR(ROUND((F142-G142)/F142,4),0)</f>
        <v/>
      </c>
      <c r="N142">
        <f>UPPER(LEFT(B142,3))&amp;MOD(C142,7)</f>
        <v/>
      </c>
      <c r="O142">
        <f>SUMIFS($C$2:$C$201,$A$2:$A$201,A142,$B$2:$B$201,B142)</f>
        <v/>
      </c>
      <c r="P142">
        <f>VLOOKUP(B142,Products!$A$2:$B$6,2,FALSE)</f>
        <v/>
      </c>
      <c r="Q142">
        <f>Q141+F142</f>
        <v/>
      </c>
    </row>
    <row r="143">
      <c r="A143" t="inlineStr">
        <is>
          <t>East</t>
        </is>
      </c>
      <c r="B143" t="inlineStr">
        <is>
          <t>Gadget</t>
        </is>
      </c>
      <c r="C143" t="n">
        <v>45</v>
      </c>
      <c r="D143" t="n">
        <v>34.14</v>
      </c>
      <c r="E143" t="n">
        <v>0.05</v>
      </c>
      <c r="F143">
        <f>C143*D143*(1-E143)</f>
        <v/>
      </c>
      <c r="G143">
        <f>F143*TaxRate</f>
        <v/>
      </c>
      <c r="H143">
        <f>IF(F143&gt;=Assumptions!$B$2,"High",IF(F143&gt;=Assumptions!$B$2/5,"Mid","Low"))</f>
        <v/>
      </c>
      <c r="I143">
        <f>F143/SUM($F$2:$F$201)</f>
        <v/>
      </c>
      <c r="J143">
        <f>SUMIF($A$2:$A$201,A143,$F$2:$F$201)</f>
        <v/>
      </c>
      <c r="K143">
        <f>F143/J143</f>
        <v/>
      </c>
      <c r="L143">
        <f>A143&amp;"-"&amp;B143&amp;" x"&amp;C143</f>
        <v/>
      </c>
      <c r="M143">
        <f>IFERROR(ROUND((F143-G143)/F143,4),0)</f>
        <v/>
      </c>
      <c r="N143">
        <f>UPPER(LEFT(B143,3))&amp;MOD(C143,7)</f>
        <v/>
      </c>
      <c r="O143">
        <f>SUMIFS($C$2:$C$201,$A$2:$A$201,A143,$B$2:$B$201,B143)</f>
        <v/>
      </c>
      <c r="P143">
        <f>VLOOKUP(B143,Products!$A$2:$B$6,2,FALSE)</f>
        <v/>
      </c>
      <c r="Q143">
        <f>Q142+F143</f>
        <v/>
      </c>
    </row>
    <row r="144">
      <c r="A144" t="inlineStr">
        <is>
          <t>North</t>
        </is>
      </c>
      <c r="B144" t="inlineStr">
        <is>
          <t>Gizmo</t>
        </is>
      </c>
      <c r="C144" t="n">
        <v>4</v>
      </c>
      <c r="D144" t="n">
        <v>7.02</v>
      </c>
      <c r="E144" t="n">
        <v>0.15</v>
      </c>
      <c r="F144">
        <f>C144*D144*(1-E144)</f>
        <v/>
      </c>
      <c r="G144">
        <f>F144*TaxRate</f>
        <v/>
      </c>
      <c r="H144">
        <f>IF(F144&gt;=Assumptions!$B$2,"High",IF(F144&gt;=Assumptions!$B$2/5,"Mid","Low"))</f>
        <v/>
      </c>
      <c r="I144">
        <f>F144/SUM($F$2:$F$201)</f>
        <v/>
      </c>
      <c r="J144">
        <f>SUMIF($A$2:$A$201,A144,$F$2:$F$201)</f>
        <v/>
      </c>
      <c r="K144">
        <f>F144/J144</f>
        <v/>
      </c>
      <c r="L144">
        <f>A144&amp;"-"&amp;B144&amp;" x"&amp;C144</f>
        <v/>
      </c>
      <c r="M144">
        <f>IFERROR(ROUND((F144-G144)/F144,4),0)</f>
        <v/>
      </c>
      <c r="N144">
        <f>UPPER(LEFT(B144,3))&amp;MOD(C144,7)</f>
        <v/>
      </c>
      <c r="O144">
        <f>SUMIFS($C$2:$C$201,$A$2:$A$201,A144,$B$2:$B$201,B144)</f>
        <v/>
      </c>
      <c r="P144">
        <f>VLOOKUP(B144,Products!$A$2:$B$6,2,FALSE)</f>
        <v/>
      </c>
      <c r="Q144">
        <f>Q143+F144</f>
        <v/>
      </c>
    </row>
    <row r="145">
      <c r="A145" t="inlineStr">
        <is>
          <t>East</t>
        </is>
      </c>
      <c r="B145" t="inlineStr">
        <is>
          <t>Gizmo</t>
        </is>
      </c>
      <c r="C145" t="n">
        <v>59</v>
      </c>
      <c r="D145" t="n">
        <v>7.09</v>
      </c>
      <c r="E145" t="n">
        <v>0.05</v>
      </c>
      <c r="F145">
        <f>C145*D145*(1-E145)</f>
        <v/>
      </c>
      <c r="G145">
        <f>F145*TaxRate</f>
        <v/>
      </c>
      <c r="H145">
        <f>IF(F145&gt;=Assumptions!$B$2,"High",IF(F145&gt;=Assumptions!$B$2/5,"Mid","Low"))</f>
        <v/>
      </c>
      <c r="I145">
        <f>F145/SUM($F$2:$F$201)</f>
        <v/>
      </c>
      <c r="J145">
        <f>SUMIF($A$2:$A$201,A145,$F$2:$F$201)</f>
        <v/>
      </c>
      <c r="K145">
        <f>F145/J145</f>
        <v/>
      </c>
      <c r="L145">
        <f>A145&amp;"-"&amp;B145&amp;" x"&amp;C145</f>
        <v/>
      </c>
      <c r="M145">
        <f>IFERROR(ROUND((F145-G145)/F145,4),0)</f>
        <v/>
      </c>
      <c r="N145">
        <f>UPPER(LEFT(B145,3))&amp;MOD(C145,7)</f>
        <v/>
      </c>
      <c r="O145">
        <f>SUMIFS($C$2:$C$201,$A$2:$A$201,A145,$B$2:$B$201,B145)</f>
        <v/>
      </c>
      <c r="P145">
        <f>VLOOKUP(B145,Products!$A$2:$B$6,2,FALSE)</f>
        <v/>
      </c>
      <c r="Q145">
        <f>Q144+F145</f>
        <v/>
      </c>
    </row>
    <row r="146">
      <c r="A146" t="inlineStr">
        <is>
          <t>East</t>
        </is>
      </c>
      <c r="B146" t="inlineStr">
        <is>
          <t>Gizmo</t>
        </is>
      </c>
      <c r="C146" t="n">
        <v>6</v>
      </c>
      <c r="D146" t="n">
        <v>6.27</v>
      </c>
      <c r="E146" t="n">
        <v>0.05</v>
      </c>
      <c r="F146">
        <f>C146*D146*(1-E146)</f>
        <v/>
      </c>
      <c r="G146">
        <f>F146*TaxRate</f>
        <v/>
      </c>
      <c r="H146">
        <f>IF(F146&gt;=Assumptions!$B$2,"High",IF(F146&gt;=Assumptions!$B$2/5,"Mid","Low"))</f>
        <v/>
      </c>
      <c r="I146">
        <f>F146/SUM($F$2:$F$201)</f>
        <v/>
      </c>
      <c r="J146">
        <f>SUMIF($A$2:$A$201,A146,$F$2:$F$201)</f>
        <v/>
      </c>
      <c r="K146">
        <f>F146/J146</f>
        <v/>
      </c>
      <c r="L146">
        <f>A146&amp;"-"&amp;B146&amp;" x"&amp;C146</f>
        <v/>
      </c>
      <c r="M146">
        <f>IFERROR(ROUND((F146-G146)/F146,4),0)</f>
        <v/>
      </c>
      <c r="N146">
        <f>UPPER(LEFT(B146,3))&amp;MOD(C146,7)</f>
        <v/>
      </c>
      <c r="O146">
        <f>SUMIFS($C$2:$C$201,$A$2:$A$201,A146,$B$2:$B$201,B146)</f>
        <v/>
      </c>
      <c r="P146">
        <f>VLOOKUP(B146,Products!$A$2:$B$6,2,FALSE)</f>
        <v/>
      </c>
      <c r="Q146">
        <f>Q145+F146</f>
        <v/>
      </c>
    </row>
    <row r="147">
      <c r="A147" t="inlineStr">
        <is>
          <t>West</t>
        </is>
      </c>
      <c r="B147" t="inlineStr">
        <is>
          <t>Gadget</t>
        </is>
      </c>
      <c r="C147" t="n">
        <v>17</v>
      </c>
      <c r="D147" t="n">
        <v>39.23</v>
      </c>
      <c r="E147" t="n">
        <v>0.05</v>
      </c>
      <c r="F147">
        <f>C147*D147*(1-E147)</f>
        <v/>
      </c>
      <c r="G147">
        <f>F147*TaxRate</f>
        <v/>
      </c>
      <c r="H147">
        <f>IF(F147&gt;=Assumptions!$B$2,"High",IF(F147&gt;=Assumptions!$B$2/5,"Mid","Low"))</f>
        <v/>
      </c>
      <c r="I147">
        <f>F147/SUM($F$2:$F$201)</f>
        <v/>
      </c>
      <c r="J147">
        <f>SUMIF($A$2:$A$201,A147,$F$2:$F$201)</f>
        <v/>
      </c>
      <c r="K147">
        <f>F147/J147</f>
        <v/>
      </c>
      <c r="L147">
        <f>A147&amp;"-"&amp;B147&amp;" x"&amp;C147</f>
        <v/>
      </c>
      <c r="M147">
        <f>IFERROR(ROUND((F147-G147)/F147,4),0)</f>
        <v/>
      </c>
      <c r="N147">
        <f>UPPER(LEFT(B147,3))&amp;MOD(C147,7)</f>
        <v/>
      </c>
      <c r="O147">
        <f>SUMIFS($C$2:$C$201,$A$2:$A$201,A147,$B$2:$B$201,B147)</f>
        <v/>
      </c>
      <c r="P147">
        <f>VLOOKUP(B147,Products!$A$2:$B$6,2,FALSE)</f>
        <v/>
      </c>
      <c r="Q147">
        <f>Q146+F147</f>
        <v/>
      </c>
    </row>
    <row r="148">
      <c r="A148" t="inlineStr">
        <is>
          <t>West</t>
        </is>
      </c>
      <c r="B148" t="inlineStr">
        <is>
          <t>Gizmo</t>
        </is>
      </c>
      <c r="C148" t="n">
        <v>50</v>
      </c>
      <c r="D148" t="n">
        <v>8.24</v>
      </c>
      <c r="F148">
        <f>C148*D148*(1-E148)</f>
        <v/>
      </c>
      <c r="G148">
        <f>F148*TaxRate</f>
        <v/>
      </c>
      <c r="H148">
        <f>IF(F148&gt;=Assumptions!$B$2,"High",IF(F148&gt;=Assumptions!$B$2/5,"Mid","Low"))</f>
        <v/>
      </c>
      <c r="I148">
        <f>F148/SUM($F$2:$F$201)</f>
        <v/>
      </c>
      <c r="J148">
        <f>SUMIF($A$2:$A$201,A148,$F$2:$F$201)</f>
        <v/>
      </c>
      <c r="K148">
        <f>F148/J148</f>
        <v/>
      </c>
      <c r="L148">
        <f>A148&amp;"-"&amp;B148&amp;" x"&amp;C148</f>
        <v/>
      </c>
      <c r="M148">
        <f>IFERROR(ROUND((F148-G148)/F148,4),0)</f>
        <v/>
      </c>
      <c r="N148">
        <f>UPPER(LEFT(B148,3))&amp;MOD(C148,7)</f>
        <v/>
      </c>
      <c r="O148">
        <f>SUMIFS($C$2:$C$201,$A$2:$A$201,A148,$B$2:$B$201,B148)</f>
        <v/>
      </c>
      <c r="P148">
        <f>VLOOKUP(B148,Products!$A$2:$B$6,2,FALSE)</f>
        <v/>
      </c>
      <c r="Q148">
        <f>Q147+F148</f>
        <v/>
      </c>
    </row>
    <row r="149">
      <c r="A149" t="inlineStr">
        <is>
          <t>South</t>
        </is>
      </c>
      <c r="B149" t="inlineStr">
        <is>
          <t>Sprocket</t>
        </is>
      </c>
      <c r="C149" t="n">
        <v>35</v>
      </c>
      <c r="D149" t="n">
        <v>2.82</v>
      </c>
      <c r="F149">
        <f>C149*D149*(1-E149)</f>
        <v/>
      </c>
      <c r="G149">
        <f>F149*TaxRate</f>
        <v/>
      </c>
      <c r="H149">
        <f>IF(F149&gt;=Assumptions!$B$2,"High",IF(F149&gt;=Assumptions!$B$2/5,"Mid","Low"))</f>
        <v/>
      </c>
      <c r="I149">
        <f>F149/SUM($F$2:$F$201)</f>
        <v/>
      </c>
      <c r="J149">
        <f>SUMIF($A$2:$A$201,A149,$F$2:$F$201)</f>
        <v/>
      </c>
      <c r="K149">
        <f>F149/J149</f>
        <v/>
      </c>
      <c r="L149">
        <f>A149&amp;"-"&amp;B149&amp;" x"&amp;C149</f>
        <v/>
      </c>
      <c r="M149">
        <f>IFERROR(ROUND((F149-G149)/F149,4),0)</f>
        <v/>
      </c>
      <c r="N149">
        <f>UPPER(LEFT(B149,3))&amp;MOD(C149,7)</f>
        <v/>
      </c>
      <c r="O149">
        <f>SUMIFS($C$2:$C$201,$A$2:$A$201,A149,$B$2:$B$201,B149)</f>
        <v/>
      </c>
      <c r="P149">
        <f>VLOOKUP(B149,Products!$A$2:$B$6,2,FALSE)</f>
        <v/>
      </c>
      <c r="Q149">
        <f>Q148+F149</f>
        <v/>
      </c>
    </row>
    <row r="150">
      <c r="A150" t="inlineStr">
        <is>
          <t>East</t>
        </is>
      </c>
      <c r="B150" t="inlineStr">
        <is>
          <t>Doohickey</t>
        </is>
      </c>
      <c r="C150" t="n">
        <v>28</v>
      </c>
      <c r="D150" t="n">
        <v>102.41</v>
      </c>
      <c r="E150" t="n">
        <v>0</v>
      </c>
      <c r="F150">
        <f>C150*D150*(1-E150)</f>
        <v/>
      </c>
      <c r="G150">
        <f>F150*TaxRate</f>
        <v/>
      </c>
      <c r="H150">
        <f>IF(F150&gt;=Assumptions!$B$2,"High",IF(F150&gt;=Assumptions!$B$2/5,"Mid","Low"))</f>
        <v/>
      </c>
      <c r="I150">
        <f>F150/SUM($F$2:$F$201)</f>
        <v/>
      </c>
      <c r="J150">
        <f>SUMIF($A$2:$A$201,A150,$F$2:$F$201)</f>
        <v/>
      </c>
      <c r="K150">
        <f>F150/J150</f>
        <v/>
      </c>
      <c r="L150">
        <f>A150&amp;"-"&amp;B150&amp;" x"&amp;C150</f>
        <v/>
      </c>
      <c r="M150">
        <f>IFERROR(ROUND((F150-G150)/F150,4),0)</f>
        <v/>
      </c>
      <c r="N150">
        <f>UPPER(LEFT(B150,3))&amp;MOD(C150,7)</f>
        <v/>
      </c>
      <c r="O150">
        <f>SUMIFS($C$2:$C$201,$A$2:$A$201,A150,$B$2:$B$201,B150)</f>
        <v/>
      </c>
      <c r="P150">
        <f>VLOOKUP(B150,Products!$A$2:$B$6,2,FALSE)</f>
        <v/>
      </c>
      <c r="Q150">
        <f>Q149+F150</f>
        <v/>
      </c>
    </row>
    <row r="151">
      <c r="A151" t="inlineStr">
        <is>
          <t>North</t>
        </is>
      </c>
      <c r="B151" t="inlineStr">
        <is>
          <t>Doohickey</t>
        </is>
      </c>
      <c r="C151" t="n">
        <v>3</v>
      </c>
      <c r="D151" t="n">
        <v>111.23</v>
      </c>
      <c r="E151" t="n">
        <v>0.15</v>
      </c>
      <c r="F151">
        <f>C151*D151*(1-E151)</f>
        <v/>
      </c>
      <c r="G151">
        <f>F151*TaxRate</f>
        <v/>
      </c>
      <c r="H151">
        <f>IF(F151&gt;=Assumptions!$B$2,"High",IF(F151&gt;=Assumptions!$B$2/5,"Mid","Low"))</f>
        <v/>
      </c>
      <c r="I151">
        <f>F151/SUM($F$2:$F$201)</f>
        <v/>
      </c>
      <c r="J151">
        <f>SUMIF($A$2:$A$201,A151,$F$2:$F$201)</f>
        <v/>
      </c>
      <c r="K151">
        <f>F151/J151</f>
        <v/>
      </c>
      <c r="L151">
        <f>A151&amp;"-"&amp;B151&amp;" x"&amp;C151</f>
        <v/>
      </c>
      <c r="M151">
        <f>IFERROR(ROUND((F151-G151)/F151,4),0)</f>
        <v/>
      </c>
      <c r="N151">
        <f>UPPER(LEFT(B151,3))&amp;MOD(C151,7)</f>
        <v/>
      </c>
      <c r="O151">
        <f>SUMIFS($C$2:$C$201,$A$2:$A$201,A151,$B$2:$B$201,B151)</f>
        <v/>
      </c>
      <c r="P151">
        <f>VLOOKUP(B151,Products!$A$2:$B$6,2,FALSE)</f>
        <v/>
      </c>
      <c r="Q151">
        <f>Q150+F151</f>
        <v/>
      </c>
    </row>
    <row r="152">
      <c r="A152" t="inlineStr">
        <is>
          <t>West</t>
        </is>
      </c>
      <c r="B152" t="inlineStr">
        <is>
          <t>Gadget</t>
        </is>
      </c>
      <c r="C152" t="n">
        <v>30</v>
      </c>
      <c r="D152" t="n">
        <v>38.98</v>
      </c>
      <c r="E152" t="n">
        <v>0.05</v>
      </c>
      <c r="F152">
        <f>C152*D152*(1-E152)</f>
        <v/>
      </c>
      <c r="G152">
        <f>F152*TaxRate</f>
        <v/>
      </c>
      <c r="H152">
        <f>IF(F152&gt;=Assumptions!$B$2,"High",IF(F152&gt;=Assumptions!$B$2/5,"Mid","Low"))</f>
        <v/>
      </c>
      <c r="I152">
        <f>F152/SUM($F$2:$F$201)</f>
        <v/>
      </c>
      <c r="J152">
        <f>SUMIF($A$2:$A$201,A152,$F$2:$F$201)</f>
        <v/>
      </c>
      <c r="K152">
        <f>F152/J152</f>
        <v/>
      </c>
      <c r="L152">
        <f>A152&amp;"-"&amp;B152&amp;" x"&amp;C152</f>
        <v/>
      </c>
      <c r="M152">
        <f>IFERROR(ROUND((F152-G152)/F152,4),0)</f>
        <v/>
      </c>
      <c r="N152">
        <f>UPPER(LEFT(B152,3))&amp;MOD(C152,7)</f>
        <v/>
      </c>
      <c r="O152">
        <f>SUMIFS($C$2:$C$201,$A$2:$A$201,A152,$B$2:$B$201,B152)</f>
        <v/>
      </c>
      <c r="P152">
        <f>VLOOKUP(B152,Products!$A$2:$B$6,2,FALSE)</f>
        <v/>
      </c>
      <c r="Q152">
        <f>Q151+F152</f>
        <v/>
      </c>
    </row>
    <row r="153">
      <c r="A153" t="inlineStr">
        <is>
          <t>North</t>
        </is>
      </c>
      <c r="B153" t="inlineStr">
        <is>
          <t>Gizmo</t>
        </is>
      </c>
      <c r="C153" t="n">
        <v>47</v>
      </c>
      <c r="D153" t="n">
        <v>7.77</v>
      </c>
      <c r="E153" t="n">
        <v>0.05</v>
      </c>
      <c r="F153">
        <f>C153*D153*(1-E153)</f>
        <v/>
      </c>
      <c r="G153">
        <f>F153*TaxRate</f>
        <v/>
      </c>
      <c r="H153">
        <f>IF(F153&gt;=Assumptions!$B$2,"High",IF(F153&gt;=Assumptions!$B$2/5,"Mid","Low"))</f>
        <v/>
      </c>
      <c r="I153">
        <f>F153/SUM($F$2:$F$201)</f>
        <v/>
      </c>
      <c r="J153">
        <f>SUMIF($A$2:$A$201,A153,$F$2:$F$201)</f>
        <v/>
      </c>
      <c r="K153">
        <f>F153/J153</f>
        <v/>
      </c>
      <c r="L153">
        <f>A153&amp;"-"&amp;B153&amp;" x"&amp;C153</f>
        <v/>
      </c>
      <c r="M153">
        <f>IFERROR(ROUND((F153-G153)/F153,4),0)</f>
        <v/>
      </c>
      <c r="N153">
        <f>UPPER(LEFT(B153,3))&amp;MOD(C153,7)</f>
        <v/>
      </c>
      <c r="O153">
        <f>SUMIFS($C$2:$C$201,$A$2:$A$201,A153,$B$2:$B$201,B153)</f>
        <v/>
      </c>
      <c r="P153">
        <f>VLOOKUP(B153,Products!$A$2:$B$6,2,FALSE)</f>
        <v/>
      </c>
      <c r="Q153">
        <f>Q152+F153</f>
        <v/>
      </c>
    </row>
    <row r="154">
      <c r="A154" t="inlineStr">
        <is>
          <t>South</t>
        </is>
      </c>
      <c r="B154" t="inlineStr">
        <is>
          <t>Gadget</t>
        </is>
      </c>
      <c r="C154" t="n">
        <v>19</v>
      </c>
      <c r="D154" t="n">
        <v>39.8</v>
      </c>
      <c r="E154" t="n">
        <v>0.1</v>
      </c>
      <c r="F154">
        <f>C154*D154*(1-E154)</f>
        <v/>
      </c>
      <c r="G154">
        <f>F154*TaxRate</f>
        <v/>
      </c>
      <c r="H154">
        <f>IF(F154&gt;=Assumptions!$B$2,"High",IF(F154&gt;=Assumptions!$B$2/5,"Mid","Low"))</f>
        <v/>
      </c>
      <c r="I154">
        <f>F154/SUM($F$2:$F$201)</f>
        <v/>
      </c>
      <c r="J154">
        <f>SUMIF($A$2:$A$201,A154,$F$2:$F$201)</f>
        <v/>
      </c>
      <c r="K154">
        <f>F154/J154</f>
        <v/>
      </c>
      <c r="L154">
        <f>A154&amp;"-"&amp;B154&amp;" x"&amp;C154</f>
        <v/>
      </c>
      <c r="M154">
        <f>IFERROR(ROUND((F154-G154)/F154,4),0)</f>
        <v/>
      </c>
      <c r="N154">
        <f>UPPER(LEFT(B154,3))&amp;MOD(C154,7)</f>
        <v/>
      </c>
      <c r="O154">
        <f>SUMIFS($C$2:$C$201,$A$2:$A$201,A154,$B$2:$B$201,B154)</f>
        <v/>
      </c>
      <c r="P154">
        <f>VLOOKUP(B154,Products!$A$2:$B$6,2,FALSE)</f>
        <v/>
      </c>
      <c r="Q154">
        <f>Q153+F154</f>
        <v/>
      </c>
    </row>
    <row r="155">
      <c r="A155" t="inlineStr">
        <is>
          <t>East</t>
        </is>
      </c>
      <c r="B155" t="inlineStr">
        <is>
          <t>Gadget</t>
        </is>
      </c>
      <c r="C155" t="n">
        <v>41</v>
      </c>
      <c r="D155" t="n">
        <v>35.94</v>
      </c>
      <c r="E155" t="n">
        <v>0</v>
      </c>
      <c r="F155">
        <f>C155*D155*(1-E155)</f>
        <v/>
      </c>
      <c r="G155">
        <f>F155*TaxRate</f>
        <v/>
      </c>
      <c r="H155">
        <f>IF(F155&gt;=Assumptions!$B$2,"High",IF(F155&gt;=Assumptions!$B$2/5,"Mid","Low"))</f>
        <v/>
      </c>
      <c r="I155">
        <f>F155/SUM($F$2:$F$201)</f>
        <v/>
      </c>
      <c r="J155">
        <f>SUMIF($A$2:$A$201,A155,$F$2:$F$201)</f>
        <v/>
      </c>
      <c r="K155">
        <f>F155/J155</f>
        <v/>
      </c>
      <c r="L155">
        <f>A155&amp;"-"&amp;B155&amp;" x"&amp;C155</f>
        <v/>
      </c>
      <c r="M155">
        <f>IFERROR(ROUND((F155-G155)/F155,4),0)</f>
        <v/>
      </c>
      <c r="N155">
        <f>UPPER(LEFT(B155,3))&amp;MOD(C155,7)</f>
        <v/>
      </c>
      <c r="O155">
        <f>SUMIFS($C$2:$C$201,$A$2:$A$201,A155,$B$2:$B$201,B155)</f>
        <v/>
      </c>
      <c r="P155">
        <f>VLOOKUP(B155,Products!$A$2:$B$6,2,FALSE)</f>
        <v/>
      </c>
      <c r="Q155">
        <f>Q154+F155</f>
        <v/>
      </c>
    </row>
    <row r="156">
      <c r="A156" t="inlineStr">
        <is>
          <t>Central</t>
        </is>
      </c>
      <c r="B156" t="inlineStr">
        <is>
          <t>Doohickey</t>
        </is>
      </c>
      <c r="C156" t="n">
        <v>35</v>
      </c>
      <c r="D156" t="n">
        <v>90.68000000000001</v>
      </c>
      <c r="E156" t="n">
        <v>0.05</v>
      </c>
      <c r="F156">
        <f>C156*D156*(1-E156)</f>
        <v/>
      </c>
      <c r="G156">
        <f>F156*TaxRate</f>
        <v/>
      </c>
      <c r="H156">
        <f>IF(F156&gt;=Assumptions!$B$2,"High",IF(F156&gt;=Assumptions!$B$2/5,"Mid","Low"))</f>
        <v/>
      </c>
      <c r="I156">
        <f>F156/SUM($F$2:$F$201)</f>
        <v/>
      </c>
      <c r="J156">
        <f>SUMIF($A$2:$A$201,A156,$F$2:$F$201)</f>
        <v/>
      </c>
      <c r="K156">
        <f>F156/J156</f>
        <v/>
      </c>
      <c r="L156">
        <f>A156&amp;"-"&amp;B156&amp;" x"&amp;C156</f>
        <v/>
      </c>
      <c r="M156">
        <f>IFERROR(ROUND((F156-G156)/F156,4),0)</f>
        <v/>
      </c>
      <c r="N156">
        <f>UPPER(LEFT(B156,3))&amp;MOD(C156,7)</f>
        <v/>
      </c>
      <c r="O156">
        <f>SUMIFS($C$2:$C$201,$A$2:$A$201,A156,$B$2:$B$201,B156)</f>
        <v/>
      </c>
      <c r="P156">
        <f>VLOOKUP(B156,Products!$A$2:$B$6,2,FALSE)</f>
        <v/>
      </c>
      <c r="Q156">
        <f>Q155+F156</f>
        <v/>
      </c>
    </row>
    <row r="157">
      <c r="A157" t="inlineStr">
        <is>
          <t>South</t>
        </is>
      </c>
      <c r="B157" t="inlineStr">
        <is>
          <t>Doohickey</t>
        </is>
      </c>
      <c r="C157" t="n">
        <v>8</v>
      </c>
      <c r="D157" t="n">
        <v>100.42</v>
      </c>
      <c r="E157" t="n">
        <v>0</v>
      </c>
      <c r="F157">
        <f>C157*D157*(1-E157)</f>
        <v/>
      </c>
      <c r="G157">
        <f>F157*TaxRate</f>
        <v/>
      </c>
      <c r="H157">
        <f>IF(F157&gt;=Assumptions!$B$2,"High",IF(F157&gt;=Assumptions!$B$2/5,"Mid","Low"))</f>
        <v/>
      </c>
      <c r="I157">
        <f>F157/SUM($F$2:$F$201)</f>
        <v/>
      </c>
      <c r="J157">
        <f>SUMIF($A$2:$A$201,A157,$F$2:$F$201)</f>
        <v/>
      </c>
      <c r="K157">
        <f>F157/J157</f>
        <v/>
      </c>
      <c r="L157">
        <f>A157&amp;"-"&amp;B157&amp;" x"&amp;C157</f>
        <v/>
      </c>
      <c r="M157">
        <f>IFERROR(ROUND((F157-G157)/F157,4),0)</f>
        <v/>
      </c>
      <c r="N157">
        <f>UPPER(LEFT(B157,3))&amp;MOD(C157,7)</f>
        <v/>
      </c>
      <c r="O157">
        <f>SUMIFS($C$2:$C$201,$A$2:$A$201,A157,$B$2:$B$201,B157)</f>
        <v/>
      </c>
      <c r="P157">
        <f>VLOOKUP(B157,Products!$A$2:$B$6,2,FALSE)</f>
        <v/>
      </c>
      <c r="Q157">
        <f>Q156+F157</f>
        <v/>
      </c>
    </row>
    <row r="158">
      <c r="A158" t="inlineStr">
        <is>
          <t>East</t>
        </is>
      </c>
      <c r="B158" t="inlineStr">
        <is>
          <t>Gadget</t>
        </is>
      </c>
      <c r="C158" t="n">
        <v>21</v>
      </c>
      <c r="D158" t="n">
        <v>40.67</v>
      </c>
      <c r="E158" t="n">
        <v>0.05</v>
      </c>
      <c r="F158">
        <f>C158*D158*(1-E158)</f>
        <v/>
      </c>
      <c r="G158">
        <f>F158*TaxRate</f>
        <v/>
      </c>
      <c r="H158">
        <f>IF(F158&gt;=Assumptions!$B$2,"High",IF(F158&gt;=Assumptions!$B$2/5,"Mid","Low"))</f>
        <v/>
      </c>
      <c r="I158">
        <f>F158/SUM($F$2:$F$201)</f>
        <v/>
      </c>
      <c r="J158">
        <f>SUMIF($A$2:$A$201,A158,$F$2:$F$201)</f>
        <v/>
      </c>
      <c r="K158">
        <f>F158/J158</f>
        <v/>
      </c>
      <c r="L158">
        <f>A158&amp;"-"&amp;B158&amp;" x"&amp;C158</f>
        <v/>
      </c>
      <c r="M158">
        <f>IFERROR(ROUND((F158-G158)/F158,4),0)</f>
        <v/>
      </c>
      <c r="N158">
        <f>UPPER(LEFT(B158,3))&amp;MOD(C158,7)</f>
        <v/>
      </c>
      <c r="O158">
        <f>SUMIFS($C$2:$C$201,$A$2:$A$201,A158,$B$2:$B$201,B158)</f>
        <v/>
      </c>
      <c r="P158">
        <f>VLOOKUP(B158,Products!$A$2:$B$6,2,FALSE)</f>
        <v/>
      </c>
      <c r="Q158">
        <f>Q157+F158</f>
        <v/>
      </c>
    </row>
    <row r="159">
      <c r="A159" t="inlineStr">
        <is>
          <t>West</t>
        </is>
      </c>
      <c r="B159" t="inlineStr">
        <is>
          <t>Gizmo</t>
        </is>
      </c>
      <c r="C159" t="n">
        <v>16</v>
      </c>
      <c r="D159" t="n">
        <v>7.92</v>
      </c>
      <c r="E159" t="n">
        <v>0</v>
      </c>
      <c r="F159">
        <f>C159*D159*(1-E159)</f>
        <v/>
      </c>
      <c r="G159">
        <f>F159*TaxRate</f>
        <v/>
      </c>
      <c r="H159">
        <f>IF(F159&gt;=Assumptions!$B$2,"High",IF(F159&gt;=Assumptions!$B$2/5,"Mid","Low"))</f>
        <v/>
      </c>
      <c r="I159">
        <f>F159/SUM($F$2:$F$201)</f>
        <v/>
      </c>
      <c r="J159">
        <f>SUMIF($A$2:$A$201,A159,$F$2:$F$201)</f>
        <v/>
      </c>
      <c r="K159">
        <f>F159/J159</f>
        <v/>
      </c>
      <c r="L159">
        <f>A159&amp;"-"&amp;B159&amp;" x"&amp;C159</f>
        <v/>
      </c>
      <c r="M159">
        <f>IFERROR(ROUND((F159-G159)/F159,4),0)</f>
        <v/>
      </c>
      <c r="N159">
        <f>UPPER(LEFT(B159,3))&amp;MOD(C159,7)</f>
        <v/>
      </c>
      <c r="O159">
        <f>SUMIFS($C$2:$C$201,$A$2:$A$201,A159,$B$2:$B$201,B159)</f>
        <v/>
      </c>
      <c r="P159">
        <f>VLOOKUP(B159,Products!$A$2:$B$6,2,FALSE)</f>
        <v/>
      </c>
      <c r="Q159">
        <f>Q158+F159</f>
        <v/>
      </c>
    </row>
    <row r="160">
      <c r="A160" t="inlineStr">
        <is>
          <t>East</t>
        </is>
      </c>
      <c r="B160" t="inlineStr">
        <is>
          <t>Doohickey</t>
        </is>
      </c>
      <c r="C160" t="n">
        <v>24</v>
      </c>
      <c r="D160" t="n">
        <v>96.44</v>
      </c>
      <c r="E160" t="n">
        <v>0.15</v>
      </c>
      <c r="F160">
        <f>C160*D160*(1-E160)</f>
        <v/>
      </c>
      <c r="G160">
        <f>F160*TaxRate</f>
        <v/>
      </c>
      <c r="H160">
        <f>IF(F160&gt;=Assumptions!$B$2,"High",IF(F160&gt;=Assumptions!$B$2/5,"Mid","Low"))</f>
        <v/>
      </c>
      <c r="I160">
        <f>F160/SUM($F$2:$F$201)</f>
        <v/>
      </c>
      <c r="J160">
        <f>SUMIF($A$2:$A$201,A160,$F$2:$F$201)</f>
        <v/>
      </c>
      <c r="K160">
        <f>F160/J160</f>
        <v/>
      </c>
      <c r="L160">
        <f>A160&amp;"-"&amp;B160&amp;" x"&amp;C160</f>
        <v/>
      </c>
      <c r="M160">
        <f>IFERROR(ROUND((F160-G160)/F160,4),0)</f>
        <v/>
      </c>
      <c r="N160">
        <f>UPPER(LEFT(B160,3))&amp;MOD(C160,7)</f>
        <v/>
      </c>
      <c r="O160">
        <f>SUMIFS($C$2:$C$201,$A$2:$A$201,A160,$B$2:$B$201,B160)</f>
        <v/>
      </c>
      <c r="P160">
        <f>VLOOKUP(B160,Products!$A$2:$B$6,2,FALSE)</f>
        <v/>
      </c>
      <c r="Q160">
        <f>Q159+F160</f>
        <v/>
      </c>
    </row>
    <row r="161">
      <c r="A161" t="inlineStr">
        <is>
          <t>West</t>
        </is>
      </c>
      <c r="B161" t="inlineStr">
        <is>
          <t>Doohickey</t>
        </is>
      </c>
      <c r="C161" t="n">
        <v>17</v>
      </c>
      <c r="D161" t="n">
        <v>94.19</v>
      </c>
      <c r="F161">
        <f>C161*D161*(1-E161)</f>
        <v/>
      </c>
      <c r="G161">
        <f>F161*TaxRate</f>
        <v/>
      </c>
      <c r="H161">
        <f>IF(F161&gt;=Assumptions!$B$2,"High",IF(F161&gt;=Assumptions!$B$2/5,"Mid","Low"))</f>
        <v/>
      </c>
      <c r="I161">
        <f>F161/SUM($F$2:$F$201)</f>
        <v/>
      </c>
      <c r="J161">
        <f>SUMIF($A$2:$A$201,A161,$F$2:$F$201)</f>
        <v/>
      </c>
      <c r="K161">
        <f>F161/J161</f>
        <v/>
      </c>
      <c r="L161">
        <f>A161&amp;"-"&amp;B161&amp;" x"&amp;C161</f>
        <v/>
      </c>
      <c r="M161">
        <f>IFERROR(ROUND((F161-G161)/F161,4),0)</f>
        <v/>
      </c>
      <c r="N161">
        <f>UPPER(LEFT(B161,3))&amp;MOD(C161,7)</f>
        <v/>
      </c>
      <c r="O161">
        <f>SUMIFS($C$2:$C$201,$A$2:$A$201,A161,$B$2:$B$201,B161)</f>
        <v/>
      </c>
      <c r="P161">
        <f>VLOOKUP(B161,Products!$A$2:$B$6,2,FALSE)</f>
        <v/>
      </c>
      <c r="Q161">
        <f>Q160+F161</f>
        <v/>
      </c>
    </row>
    <row r="162">
      <c r="A162" t="inlineStr">
        <is>
          <t>South</t>
        </is>
      </c>
      <c r="B162" t="inlineStr">
        <is>
          <t>Gizmo</t>
        </is>
      </c>
      <c r="C162" t="n">
        <v>36</v>
      </c>
      <c r="D162" t="n">
        <v>8.27</v>
      </c>
      <c r="E162" t="n">
        <v>0</v>
      </c>
      <c r="F162">
        <f>C162*D162*(1-E162)</f>
        <v/>
      </c>
      <c r="G162">
        <f>F162*TaxRate</f>
        <v/>
      </c>
      <c r="H162">
        <f>IF(F162&gt;=Assumptions!$B$2,"High",IF(F162&gt;=Assumptions!$B$2/5,"Mid","Low"))</f>
        <v/>
      </c>
      <c r="I162">
        <f>F162/SUM($F$2:$F$201)</f>
        <v/>
      </c>
      <c r="J162">
        <f>SUMIF($A$2:$A$201,A162,$F$2:$F$201)</f>
        <v/>
      </c>
      <c r="K162">
        <f>F162/J162</f>
        <v/>
      </c>
      <c r="L162">
        <f>A162&amp;"-"&amp;B162&amp;" x"&amp;C162</f>
        <v/>
      </c>
      <c r="M162">
        <f>IFERROR(ROUND((F162-G162)/F162,4),0)</f>
        <v/>
      </c>
      <c r="N162">
        <f>UPPER(LEFT(B162,3))&amp;MOD(C162,7)</f>
        <v/>
      </c>
      <c r="O162">
        <f>SUMIFS($C$2:$C$201,$A$2:$A$201,A162,$B$2:$B$201,B162)</f>
        <v/>
      </c>
      <c r="P162">
        <f>VLOOKUP(B162,Products!$A$2:$B$6,2,FALSE)</f>
        <v/>
      </c>
      <c r="Q162">
        <f>Q161+F162</f>
        <v/>
      </c>
    </row>
    <row r="163">
      <c r="A163" t="inlineStr">
        <is>
          <t>Central</t>
        </is>
      </c>
      <c r="B163" t="inlineStr">
        <is>
          <t>Sprocket</t>
        </is>
      </c>
      <c r="C163" t="n">
        <v>40</v>
      </c>
      <c r="D163" t="n">
        <v>3.37</v>
      </c>
      <c r="E163" t="n">
        <v>0</v>
      </c>
      <c r="F163">
        <f>C163*D163*(1-E163)</f>
        <v/>
      </c>
      <c r="G163">
        <f>F163*TaxRate</f>
        <v/>
      </c>
      <c r="H163">
        <f>IF(F163&gt;=Assumptions!$B$2,"High",IF(F163&gt;=Assumptions!$B$2/5,"Mid","Low"))</f>
        <v/>
      </c>
      <c r="I163">
        <f>F163/SUM($F$2:$F$201)</f>
        <v/>
      </c>
      <c r="J163">
        <f>SUMIF($A$2:$A$201,A163,$F$2:$F$201)</f>
        <v/>
      </c>
      <c r="K163">
        <f>F163/J163</f>
        <v/>
      </c>
      <c r="L163">
        <f>A163&amp;"-"&amp;B163&amp;" x"&amp;C163</f>
        <v/>
      </c>
      <c r="M163">
        <f>IFERROR(ROUND((F163-G163)/F163,4),0)</f>
        <v/>
      </c>
      <c r="N163">
        <f>UPPER(LEFT(B163,3))&amp;MOD(C163,7)</f>
        <v/>
      </c>
      <c r="O163">
        <f>SUMIFS($C$2:$C$201,$A$2:$A$201,A163,$B$2:$B$201,B163)</f>
        <v/>
      </c>
      <c r="P163">
        <f>VLOOKUP(B163,Products!$A$2:$B$6,2,FALSE)</f>
        <v/>
      </c>
      <c r="Q163">
        <f>Q162+F163</f>
        <v/>
      </c>
    </row>
    <row r="164">
      <c r="A164" t="inlineStr">
        <is>
          <t>East</t>
        </is>
      </c>
      <c r="B164" t="inlineStr">
        <is>
          <t>Gizmo</t>
        </is>
      </c>
      <c r="C164" t="n">
        <v>57</v>
      </c>
      <c r="D164" t="n">
        <v>6.7</v>
      </c>
      <c r="E164" t="n">
        <v>0.1</v>
      </c>
      <c r="F164">
        <f>C164*D164*(1-E164)</f>
        <v/>
      </c>
      <c r="G164">
        <f>F164*TaxRate</f>
        <v/>
      </c>
      <c r="H164">
        <f>IF(F164&gt;=Assumptions!$B$2,"High",IF(F164&gt;=Assumptions!$B$2/5,"Mid","Low"))</f>
        <v/>
      </c>
      <c r="I164">
        <f>F164/SUM($F$2:$F$201)</f>
        <v/>
      </c>
      <c r="J164">
        <f>SUMIF($A$2:$A$201,A164,$F$2:$F$201)</f>
        <v/>
      </c>
      <c r="K164">
        <f>F164/J164</f>
        <v/>
      </c>
      <c r="L164">
        <f>A164&amp;"-"&amp;B164&amp;" x"&amp;C164</f>
        <v/>
      </c>
      <c r="M164">
        <f>IFERROR(ROUND((F164-G164)/F164,4),0)</f>
        <v/>
      </c>
      <c r="N164">
        <f>UPPER(LEFT(B164,3))&amp;MOD(C164,7)</f>
        <v/>
      </c>
      <c r="O164">
        <f>SUMIFS($C$2:$C$201,$A$2:$A$201,A164,$B$2:$B$201,B164)</f>
        <v/>
      </c>
      <c r="P164">
        <f>VLOOKUP(B164,Products!$A$2:$B$6,2,FALSE)</f>
        <v/>
      </c>
      <c r="Q164">
        <f>Q163+F164</f>
        <v/>
      </c>
    </row>
    <row r="165">
      <c r="A165" t="inlineStr">
        <is>
          <t>South</t>
        </is>
      </c>
      <c r="B165" t="inlineStr">
        <is>
          <t>Doohickey</t>
        </is>
      </c>
      <c r="C165" t="n">
        <v>19</v>
      </c>
      <c r="D165" t="n">
        <v>109.36</v>
      </c>
      <c r="F165">
        <f>C165*D165*(1-E165)</f>
        <v/>
      </c>
      <c r="G165">
        <f>F165*TaxRate</f>
        <v/>
      </c>
      <c r="H165">
        <f>IF(F165&gt;=Assumptions!$B$2,"High",IF(F165&gt;=Assumptions!$B$2/5,"Mid","Low"))</f>
        <v/>
      </c>
      <c r="I165">
        <f>F165/SUM($F$2:$F$201)</f>
        <v/>
      </c>
      <c r="J165">
        <f>SUMIF($A$2:$A$201,A165,$F$2:$F$201)</f>
        <v/>
      </c>
      <c r="K165">
        <f>F165/J165</f>
        <v/>
      </c>
      <c r="L165">
        <f>A165&amp;"-"&amp;B165&amp;" x"&amp;C165</f>
        <v/>
      </c>
      <c r="M165">
        <f>IFERROR(ROUND((F165-G165)/F165,4),0)</f>
        <v/>
      </c>
      <c r="N165">
        <f>UPPER(LEFT(B165,3))&amp;MOD(C165,7)</f>
        <v/>
      </c>
      <c r="O165">
        <f>SUMIFS($C$2:$C$201,$A$2:$A$201,A165,$B$2:$B$201,B165)</f>
        <v/>
      </c>
      <c r="P165">
        <f>VLOOKUP(B165,Products!$A$2:$B$6,2,FALSE)</f>
        <v/>
      </c>
      <c r="Q165">
        <f>Q164+F165</f>
        <v/>
      </c>
    </row>
    <row r="166">
      <c r="A166" t="inlineStr">
        <is>
          <t>West</t>
        </is>
      </c>
      <c r="B166" t="inlineStr">
        <is>
          <t>Widget</t>
        </is>
      </c>
      <c r="C166" t="n">
        <v>27</v>
      </c>
      <c r="D166" t="n">
        <v>13.29</v>
      </c>
      <c r="E166" t="n">
        <v>0.1</v>
      </c>
      <c r="F166">
        <f>C166*D166*(1-E166)</f>
        <v/>
      </c>
      <c r="G166">
        <f>F166*TaxRate</f>
        <v/>
      </c>
      <c r="H166">
        <f>IF(F166&gt;=Assumptions!$B$2,"High",IF(F166&gt;=Assumptions!$B$2/5,"Mid","Low"))</f>
        <v/>
      </c>
      <c r="I166">
        <f>F166/SUM($F$2:$F$201)</f>
        <v/>
      </c>
      <c r="J166">
        <f>SUMIF($A$2:$A$201,A166,$F$2:$F$201)</f>
        <v/>
      </c>
      <c r="K166">
        <f>F166/J166</f>
        <v/>
      </c>
      <c r="L166">
        <f>A166&amp;"-"&amp;B166&amp;" x"&amp;C166</f>
        <v/>
      </c>
      <c r="M166">
        <f>IFERROR(ROUND((F166-G166)/F166,4),0)</f>
        <v/>
      </c>
      <c r="N166">
        <f>UPPER(LEFT(B166,3))&amp;MOD(C166,7)</f>
        <v/>
      </c>
      <c r="O166">
        <f>SUMIFS($C$2:$C$201,$A$2:$A$201,A166,$B$2:$B$201,B166)</f>
        <v/>
      </c>
      <c r="P166">
        <f>VLOOKUP(B166,Products!$A$2:$B$6,2,FALSE)</f>
        <v/>
      </c>
      <c r="Q166">
        <f>Q165+F166</f>
        <v/>
      </c>
    </row>
    <row r="167">
      <c r="A167" t="inlineStr">
        <is>
          <t>Central</t>
        </is>
      </c>
      <c r="B167" t="inlineStr">
        <is>
          <t>Doohickey</t>
        </is>
      </c>
      <c r="C167" t="n">
        <v>0</v>
      </c>
      <c r="D167" t="n">
        <v>86.31999999999999</v>
      </c>
      <c r="E167" t="n">
        <v>0.15</v>
      </c>
      <c r="F167">
        <f>C167*D167*(1-E167)</f>
        <v/>
      </c>
      <c r="G167">
        <f>F167*TaxRate</f>
        <v/>
      </c>
      <c r="H167">
        <f>IF(F167&gt;=Assumptions!$B$2,"High",IF(F167&gt;=Assumptions!$B$2/5,"Mid","Low"))</f>
        <v/>
      </c>
      <c r="I167">
        <f>F167/SUM($F$2:$F$201)</f>
        <v/>
      </c>
      <c r="J167">
        <f>SUMIF($A$2:$A$201,A167,$F$2:$F$201)</f>
        <v/>
      </c>
      <c r="K167">
        <f>F167/J167</f>
        <v/>
      </c>
      <c r="L167">
        <f>A167&amp;"-"&amp;B167&amp;" x"&amp;C167</f>
        <v/>
      </c>
      <c r="M167">
        <f>IFERROR(ROUND((F167-G167)/F167,4),0)</f>
        <v/>
      </c>
      <c r="N167">
        <f>UPPER(LEFT(B167,3))&amp;MOD(C167,7)</f>
        <v/>
      </c>
      <c r="O167">
        <f>SUMIFS($C$2:$C$201,$A$2:$A$201,A167,$B$2:$B$201,B167)</f>
        <v/>
      </c>
      <c r="P167">
        <f>VLOOKUP(B167,Products!$A$2:$B$6,2,FALSE)</f>
        <v/>
      </c>
      <c r="Q167">
        <f>Q166+F167</f>
        <v/>
      </c>
    </row>
    <row r="168">
      <c r="A168" t="inlineStr">
        <is>
          <t>South</t>
        </is>
      </c>
      <c r="B168" t="inlineStr">
        <is>
          <t>Doohickey</t>
        </is>
      </c>
      <c r="C168" t="n">
        <v>15</v>
      </c>
      <c r="D168" t="n">
        <v>107.41</v>
      </c>
      <c r="E168" t="n">
        <v>0</v>
      </c>
      <c r="F168">
        <f>C168*D168*(1-E168)</f>
        <v/>
      </c>
      <c r="G168">
        <f>F168*TaxRate</f>
        <v/>
      </c>
      <c r="H168">
        <f>IF(F168&gt;=Assumptions!$B$2,"High",IF(F168&gt;=Assumptions!$B$2/5,"Mid","Low"))</f>
        <v/>
      </c>
      <c r="I168">
        <f>F168/SUM($F$2:$F$201)</f>
        <v/>
      </c>
      <c r="J168">
        <f>SUMIF($A$2:$A$201,A168,$F$2:$F$201)</f>
        <v/>
      </c>
      <c r="K168">
        <f>F168/J168</f>
        <v/>
      </c>
      <c r="L168">
        <f>A168&amp;"-"&amp;B168&amp;" x"&amp;C168</f>
        <v/>
      </c>
      <c r="M168">
        <f>IFERROR(ROUND((F168-G168)/F168,4),0)</f>
        <v/>
      </c>
      <c r="N168">
        <f>UPPER(LEFT(B168,3))&amp;MOD(C168,7)</f>
        <v/>
      </c>
      <c r="O168">
        <f>SUMIFS($C$2:$C$201,$A$2:$A$201,A168,$B$2:$B$201,B168)</f>
        <v/>
      </c>
      <c r="P168">
        <f>VLOOKUP(B168,Products!$A$2:$B$6,2,FALSE)</f>
        <v/>
      </c>
      <c r="Q168">
        <f>Q167+F168</f>
        <v/>
      </c>
    </row>
    <row r="169">
      <c r="A169" t="inlineStr">
        <is>
          <t>West</t>
        </is>
      </c>
      <c r="B169" t="inlineStr">
        <is>
          <t>Gadget</t>
        </is>
      </c>
      <c r="C169" t="n">
        <v>33</v>
      </c>
      <c r="D169" t="n">
        <v>45.66</v>
      </c>
      <c r="F169">
        <f>C169*D169*(1-E169)</f>
        <v/>
      </c>
      <c r="G169">
        <f>F169*TaxRate</f>
        <v/>
      </c>
      <c r="H169">
        <f>IF(F169&gt;=Assumptions!$B$2,"High",IF(F169&gt;=Assumptions!$B$2/5,"Mid","Low"))</f>
        <v/>
      </c>
      <c r="I169">
        <f>F169/SUM($F$2:$F$201)</f>
        <v/>
      </c>
      <c r="J169">
        <f>SUMIF($A$2:$A$201,A169,$F$2:$F$201)</f>
        <v/>
      </c>
      <c r="K169">
        <f>F169/J169</f>
        <v/>
      </c>
      <c r="L169">
        <f>A169&amp;"-"&amp;B169&amp;" x"&amp;C169</f>
        <v/>
      </c>
      <c r="M169">
        <f>IFERROR(ROUND((F169-G169)/F169,4),0)</f>
        <v/>
      </c>
      <c r="N169">
        <f>UPPER(LEFT(B169,3))&amp;MOD(C169,7)</f>
        <v/>
      </c>
      <c r="O169">
        <f>SUMIFS($C$2:$C$201,$A$2:$A$201,A169,$B$2:$B$201,B169)</f>
        <v/>
      </c>
      <c r="P169">
        <f>VLOOKUP(B169,Products!$A$2:$B$6,2,FALSE)</f>
        <v/>
      </c>
      <c r="Q169">
        <f>Q168+F169</f>
        <v/>
      </c>
    </row>
    <row r="170">
      <c r="A170" t="inlineStr">
        <is>
          <t>South</t>
        </is>
      </c>
      <c r="B170" t="inlineStr">
        <is>
          <t>Widget</t>
        </is>
      </c>
      <c r="C170" t="n">
        <v>35</v>
      </c>
      <c r="D170" t="n">
        <v>13.54</v>
      </c>
      <c r="F170">
        <f>C170*D170*(1-E170)</f>
        <v/>
      </c>
      <c r="G170">
        <f>F170*TaxRate</f>
        <v/>
      </c>
      <c r="H170">
        <f>IF(F170&gt;=Assumptions!$B$2,"High",IF(F170&gt;=Assumptions!$B$2/5,"Mid","Low"))</f>
        <v/>
      </c>
      <c r="I170">
        <f>F170/SUM($F$2:$F$201)</f>
        <v/>
      </c>
      <c r="J170">
        <f>SUMIF($A$2:$A$201,A170,$F$2:$F$201)</f>
        <v/>
      </c>
      <c r="K170">
        <f>F170/J170</f>
        <v/>
      </c>
      <c r="L170">
        <f>A170&amp;"-"&amp;B170&amp;" x"&amp;C170</f>
        <v/>
      </c>
      <c r="M170">
        <f>IFERROR(ROUND((F170-G170)/F170,4),0)</f>
        <v/>
      </c>
      <c r="N170">
        <f>UPPER(LEFT(B170,3))&amp;MOD(C170,7)</f>
        <v/>
      </c>
      <c r="O170">
        <f>SUMIFS($C$2:$C$201,$A$2:$A$201,A170,$B$2:$B$201,B170)</f>
        <v/>
      </c>
      <c r="P170">
        <f>VLOOKUP(B170,Products!$A$2:$B$6,2,FALSE)</f>
        <v/>
      </c>
      <c r="Q170">
        <f>Q169+F170</f>
        <v/>
      </c>
    </row>
    <row r="171">
      <c r="A171" t="inlineStr">
        <is>
          <t>West</t>
        </is>
      </c>
      <c r="B171" t="inlineStr">
        <is>
          <t>Gadget</t>
        </is>
      </c>
      <c r="C171" t="n">
        <v>36</v>
      </c>
      <c r="D171" t="n">
        <v>45.04</v>
      </c>
      <c r="E171" t="n">
        <v>0.05</v>
      </c>
      <c r="F171">
        <f>C171*D171*(1-E171)</f>
        <v/>
      </c>
      <c r="G171">
        <f>F171*TaxRate</f>
        <v/>
      </c>
      <c r="H171">
        <f>IF(F171&gt;=Assumptions!$B$2,"High",IF(F171&gt;=Assumptions!$B$2/5,"Mid","Low"))</f>
        <v/>
      </c>
      <c r="I171">
        <f>F171/SUM($F$2:$F$201)</f>
        <v/>
      </c>
      <c r="J171">
        <f>SUMIF($A$2:$A$201,A171,$F$2:$F$201)</f>
        <v/>
      </c>
      <c r="K171">
        <f>F171/J171</f>
        <v/>
      </c>
      <c r="L171">
        <f>A171&amp;"-"&amp;B171&amp;" x"&amp;C171</f>
        <v/>
      </c>
      <c r="M171">
        <f>IFERROR(ROUND((F171-G171)/F171,4),0)</f>
        <v/>
      </c>
      <c r="N171">
        <f>UPPER(LEFT(B171,3))&amp;MOD(C171,7)</f>
        <v/>
      </c>
      <c r="O171">
        <f>SUMIFS($C$2:$C$201,$A$2:$A$201,A171,$B$2:$B$201,B171)</f>
        <v/>
      </c>
      <c r="P171">
        <f>VLOOKUP(B171,Products!$A$2:$B$6,2,FALSE)</f>
        <v/>
      </c>
      <c r="Q171">
        <f>Q170+F171</f>
        <v/>
      </c>
    </row>
    <row r="172">
      <c r="A172" t="inlineStr">
        <is>
          <t>West</t>
        </is>
      </c>
      <c r="B172" t="inlineStr">
        <is>
          <t>Gizmo</t>
        </is>
      </c>
      <c r="C172" t="n">
        <v>33</v>
      </c>
      <c r="D172" t="n">
        <v>7.55</v>
      </c>
      <c r="F172">
        <f>C172*D172*(1-E172)</f>
        <v/>
      </c>
      <c r="G172">
        <f>F172*TaxRate</f>
        <v/>
      </c>
      <c r="H172">
        <f>IF(F172&gt;=Assumptions!$B$2,"High",IF(F172&gt;=Assumptions!$B$2/5,"Mid","Low"))</f>
        <v/>
      </c>
      <c r="I172">
        <f>F172/SUM($F$2:$F$201)</f>
        <v/>
      </c>
      <c r="J172">
        <f>SUMIF($A$2:$A$201,A172,$F$2:$F$201)</f>
        <v/>
      </c>
      <c r="K172">
        <f>F172/J172</f>
        <v/>
      </c>
      <c r="L172">
        <f>A172&amp;"-"&amp;B172&amp;" x"&amp;C172</f>
        <v/>
      </c>
      <c r="M172">
        <f>IFERROR(ROUND((F172-G172)/F172,4),0)</f>
        <v/>
      </c>
      <c r="N172">
        <f>UPPER(LEFT(B172,3))&amp;MOD(C172,7)</f>
        <v/>
      </c>
      <c r="O172">
        <f>SUMIFS($C$2:$C$201,$A$2:$A$201,A172,$B$2:$B$201,B172)</f>
        <v/>
      </c>
      <c r="P172">
        <f>VLOOKUP(B172,Products!$A$2:$B$6,2,FALSE)</f>
        <v/>
      </c>
      <c r="Q172">
        <f>Q171+F172</f>
        <v/>
      </c>
    </row>
    <row r="173">
      <c r="A173" t="inlineStr">
        <is>
          <t>East</t>
        </is>
      </c>
      <c r="B173" t="inlineStr">
        <is>
          <t>Widget</t>
        </is>
      </c>
      <c r="C173" t="n">
        <v>19</v>
      </c>
      <c r="D173" t="n">
        <v>12.59</v>
      </c>
      <c r="E173" t="n">
        <v>0.15</v>
      </c>
      <c r="F173">
        <f>C173*D173*(1-E173)</f>
        <v/>
      </c>
      <c r="G173">
        <f>F173*TaxRate</f>
        <v/>
      </c>
      <c r="H173">
        <f>IF(F173&gt;=Assumptions!$B$2,"High",IF(F173&gt;=Assumptions!$B$2/5,"Mid","Low"))</f>
        <v/>
      </c>
      <c r="I173">
        <f>F173/SUM($F$2:$F$201)</f>
        <v/>
      </c>
      <c r="J173">
        <f>SUMIF($A$2:$A$201,A173,$F$2:$F$201)</f>
        <v/>
      </c>
      <c r="K173">
        <f>F173/J173</f>
        <v/>
      </c>
      <c r="L173">
        <f>A173&amp;"-"&amp;B173&amp;" x"&amp;C173</f>
        <v/>
      </c>
      <c r="M173">
        <f>IFERROR(ROUND((F173-G173)/F173,4),0)</f>
        <v/>
      </c>
      <c r="N173">
        <f>UPPER(LEFT(B173,3))&amp;MOD(C173,7)</f>
        <v/>
      </c>
      <c r="O173">
        <f>SUMIFS($C$2:$C$201,$A$2:$A$201,A173,$B$2:$B$201,B173)</f>
        <v/>
      </c>
      <c r="P173">
        <f>VLOOKUP(B173,Products!$A$2:$B$6,2,FALSE)</f>
        <v/>
      </c>
      <c r="Q173">
        <f>Q172+F173</f>
        <v/>
      </c>
    </row>
    <row r="174">
      <c r="A174" t="inlineStr">
        <is>
          <t>West</t>
        </is>
      </c>
      <c r="B174" t="inlineStr">
        <is>
          <t>Doohickey</t>
        </is>
      </c>
      <c r="C174" t="n">
        <v>16</v>
      </c>
      <c r="D174" t="n">
        <v>90.79000000000001</v>
      </c>
      <c r="E174" t="n">
        <v>0.15</v>
      </c>
      <c r="F174">
        <f>C174*D174*(1-E174)</f>
        <v/>
      </c>
      <c r="G174">
        <f>F174*TaxRate</f>
        <v/>
      </c>
      <c r="H174">
        <f>IF(F174&gt;=Assumptions!$B$2,"High",IF(F174&gt;=Assumptions!$B$2/5,"Mid","Low"))</f>
        <v/>
      </c>
      <c r="I174">
        <f>F174/SUM($F$2:$F$201)</f>
        <v/>
      </c>
      <c r="J174">
        <f>SUMIF($A$2:$A$201,A174,$F$2:$F$201)</f>
        <v/>
      </c>
      <c r="K174">
        <f>F174/J174</f>
        <v/>
      </c>
      <c r="L174">
        <f>A174&amp;"-"&amp;B174&amp;" x"&amp;C174</f>
        <v/>
      </c>
      <c r="M174">
        <f>IFERROR(ROUND((F174-G174)/F174,4),0)</f>
        <v/>
      </c>
      <c r="N174">
        <f>UPPER(LEFT(B174,3))&amp;MOD(C174,7)</f>
        <v/>
      </c>
      <c r="O174">
        <f>SUMIFS($C$2:$C$201,$A$2:$A$201,A174,$B$2:$B$201,B174)</f>
        <v/>
      </c>
      <c r="P174">
        <f>VLOOKUP(B174,Products!$A$2:$B$6,2,FALSE)</f>
        <v/>
      </c>
      <c r="Q174">
        <f>Q173+F174</f>
        <v/>
      </c>
    </row>
    <row r="175">
      <c r="A175" t="inlineStr">
        <is>
          <t>East</t>
        </is>
      </c>
      <c r="B175" t="inlineStr">
        <is>
          <t>Widget</t>
        </is>
      </c>
      <c r="C175" t="n">
        <v>34</v>
      </c>
      <c r="D175" t="n">
        <v>11.76</v>
      </c>
      <c r="E175" t="n">
        <v>0.1</v>
      </c>
      <c r="F175">
        <f>C175*D175*(1-E175)</f>
        <v/>
      </c>
      <c r="G175">
        <f>F175*TaxRate</f>
        <v/>
      </c>
      <c r="H175">
        <f>IF(F175&gt;=Assumptions!$B$2,"High",IF(F175&gt;=Assumptions!$B$2/5,"Mid","Low"))</f>
        <v/>
      </c>
      <c r="I175">
        <f>F175/SUM($F$2:$F$201)</f>
        <v/>
      </c>
      <c r="J175">
        <f>SUMIF($A$2:$A$201,A175,$F$2:$F$201)</f>
        <v/>
      </c>
      <c r="K175">
        <f>F175/J175</f>
        <v/>
      </c>
      <c r="L175">
        <f>A175&amp;"-"&amp;B175&amp;" x"&amp;C175</f>
        <v/>
      </c>
      <c r="M175">
        <f>IFERROR(ROUND((F175-G175)/F175,4),0)</f>
        <v/>
      </c>
      <c r="N175">
        <f>UPPER(LEFT(B175,3))&amp;MOD(C175,7)</f>
        <v/>
      </c>
      <c r="O175">
        <f>SUMIFS($C$2:$C$201,$A$2:$A$201,A175,$B$2:$B$201,B175)</f>
        <v/>
      </c>
      <c r="P175">
        <f>VLOOKUP(B175,Products!$A$2:$B$6,2,FALSE)</f>
        <v/>
      </c>
      <c r="Q175">
        <f>Q174+F175</f>
        <v/>
      </c>
    </row>
    <row r="176">
      <c r="A176" t="inlineStr">
        <is>
          <t>North</t>
        </is>
      </c>
      <c r="B176" t="inlineStr">
        <is>
          <t>Gizmo</t>
        </is>
      </c>
      <c r="C176" t="n">
        <v>41</v>
      </c>
      <c r="D176" t="n">
        <v>7.99</v>
      </c>
      <c r="E176" t="n">
        <v>0</v>
      </c>
      <c r="F176">
        <f>C176*D176*(1-E176)</f>
        <v/>
      </c>
      <c r="G176">
        <f>F176*TaxRate</f>
        <v/>
      </c>
      <c r="H176">
        <f>IF(F176&gt;=Assumptions!$B$2,"High",IF(F176&gt;=Assumptions!$B$2/5,"Mid","Low"))</f>
        <v/>
      </c>
      <c r="I176">
        <f>F176/SUM($F$2:$F$201)</f>
        <v/>
      </c>
      <c r="J176">
        <f>SUMIF($A$2:$A$201,A176,$F$2:$F$201)</f>
        <v/>
      </c>
      <c r="K176">
        <f>F176/J176</f>
        <v/>
      </c>
      <c r="L176">
        <f>A176&amp;"-"&amp;B176&amp;" x"&amp;C176</f>
        <v/>
      </c>
      <c r="M176">
        <f>IFERROR(ROUND((F176-G176)/F176,4),0)</f>
        <v/>
      </c>
      <c r="N176">
        <f>UPPER(LEFT(B176,3))&amp;MOD(C176,7)</f>
        <v/>
      </c>
      <c r="O176">
        <f>SUMIFS($C$2:$C$201,$A$2:$A$201,A176,$B$2:$B$201,B176)</f>
        <v/>
      </c>
      <c r="P176">
        <f>VLOOKUP(B176,Products!$A$2:$B$6,2,FALSE)</f>
        <v/>
      </c>
      <c r="Q176">
        <f>Q175+F176</f>
        <v/>
      </c>
    </row>
    <row r="177">
      <c r="A177" t="inlineStr">
        <is>
          <t>South</t>
        </is>
      </c>
      <c r="B177" t="inlineStr">
        <is>
          <t>Sprocket</t>
        </is>
      </c>
      <c r="C177" t="n">
        <v>15</v>
      </c>
      <c r="D177" t="n">
        <v>3.14</v>
      </c>
      <c r="F177">
        <f>C177*D177*(1-E177)</f>
        <v/>
      </c>
      <c r="G177">
        <f>F177*TaxRate</f>
        <v/>
      </c>
      <c r="H177">
        <f>IF(F177&gt;=Assumptions!$B$2,"High",IF(F177&gt;=Assumptions!$B$2/5,"Mid","Low"))</f>
        <v/>
      </c>
      <c r="I177">
        <f>F177/SUM($F$2:$F$201)</f>
        <v/>
      </c>
      <c r="J177">
        <f>SUMIF($A$2:$A$201,A177,$F$2:$F$201)</f>
        <v/>
      </c>
      <c r="K177">
        <f>F177/J177</f>
        <v/>
      </c>
      <c r="L177">
        <f>A177&amp;"-"&amp;B177&amp;" x"&amp;C177</f>
        <v/>
      </c>
      <c r="M177">
        <f>IFERROR(ROUND((F177-G177)/F177,4),0)</f>
        <v/>
      </c>
      <c r="N177">
        <f>UPPER(LEFT(B177,3))&amp;MOD(C177,7)</f>
        <v/>
      </c>
      <c r="O177">
        <f>SUMIFS($C$2:$C$201,$A$2:$A$201,A177,$B$2:$B$201,B177)</f>
        <v/>
      </c>
      <c r="P177">
        <f>VLOOKUP(B177,Products!$A$2:$B$6,2,FALSE)</f>
        <v/>
      </c>
      <c r="Q177">
        <f>Q176+F177</f>
        <v/>
      </c>
    </row>
    <row r="178">
      <c r="A178" t="inlineStr">
        <is>
          <t>South</t>
        </is>
      </c>
      <c r="B178" t="inlineStr">
        <is>
          <t>Gizmo</t>
        </is>
      </c>
      <c r="C178" t="n">
        <v>3</v>
      </c>
      <c r="D178" t="n">
        <v>6.21</v>
      </c>
      <c r="E178" t="n">
        <v>0.1</v>
      </c>
      <c r="F178">
        <f>C178*D178*(1-E178)</f>
        <v/>
      </c>
      <c r="G178">
        <f>F178*TaxRate</f>
        <v/>
      </c>
      <c r="H178">
        <f>IF(F178&gt;=Assumptions!$B$2,"High",IF(F178&gt;=Assumptions!$B$2/5,"Mid","Low"))</f>
        <v/>
      </c>
      <c r="I178">
        <f>F178/SUM($F$2:$F$201)</f>
        <v/>
      </c>
      <c r="J178">
        <f>SUMIF($A$2:$A$201,A178,$F$2:$F$201)</f>
        <v/>
      </c>
      <c r="K178">
        <f>F178/J178</f>
        <v/>
      </c>
      <c r="L178">
        <f>A178&amp;"-"&amp;B178&amp;" x"&amp;C178</f>
        <v/>
      </c>
      <c r="M178">
        <f>IFERROR(ROUND((F178-G178)/F178,4),0)</f>
        <v/>
      </c>
      <c r="N178">
        <f>UPPER(LEFT(B178,3))&amp;MOD(C178,7)</f>
        <v/>
      </c>
      <c r="O178">
        <f>SUMIFS($C$2:$C$201,$A$2:$A$201,A178,$B$2:$B$201,B178)</f>
        <v/>
      </c>
      <c r="P178">
        <f>VLOOKUP(B178,Products!$A$2:$B$6,2,FALSE)</f>
        <v/>
      </c>
      <c r="Q178">
        <f>Q177+F178</f>
        <v/>
      </c>
    </row>
    <row r="179">
      <c r="A179" t="inlineStr">
        <is>
          <t>South</t>
        </is>
      </c>
      <c r="B179" t="inlineStr">
        <is>
          <t>Widget</t>
        </is>
      </c>
      <c r="C179" t="n">
        <v>16</v>
      </c>
      <c r="D179" t="n">
        <v>11.48</v>
      </c>
      <c r="E179" t="n">
        <v>0.1</v>
      </c>
      <c r="F179">
        <f>C179*D179*(1-E179)</f>
        <v/>
      </c>
      <c r="G179">
        <f>F179*TaxRate</f>
        <v/>
      </c>
      <c r="H179">
        <f>IF(F179&gt;=Assumptions!$B$2,"High",IF(F179&gt;=Assumptions!$B$2/5,"Mid","Low"))</f>
        <v/>
      </c>
      <c r="I179">
        <f>F179/SUM($F$2:$F$201)</f>
        <v/>
      </c>
      <c r="J179">
        <f>SUMIF($A$2:$A$201,A179,$F$2:$F$201)</f>
        <v/>
      </c>
      <c r="K179">
        <f>F179/J179</f>
        <v/>
      </c>
      <c r="L179">
        <f>A179&amp;"-"&amp;B179&amp;" x"&amp;C179</f>
        <v/>
      </c>
      <c r="M179">
        <f>IFERROR(ROUND((F179-G179)/F179,4),0)</f>
        <v/>
      </c>
      <c r="N179">
        <f>UPPER(LEFT(B179,3))&amp;MOD(C179,7)</f>
        <v/>
      </c>
      <c r="O179">
        <f>SUMIFS($C$2:$C$201,$A$2:$A$201,A179,$B$2:$B$201,B179)</f>
        <v/>
      </c>
      <c r="P179">
        <f>VLOOKUP(B179,Products!$A$2:$B$6,2,FALSE)</f>
        <v/>
      </c>
      <c r="Q179">
        <f>Q178+F179</f>
        <v/>
      </c>
    </row>
    <row r="180">
      <c r="A180" t="inlineStr">
        <is>
          <t>North</t>
        </is>
      </c>
      <c r="B180" t="inlineStr">
        <is>
          <t>Gadget</t>
        </is>
      </c>
      <c r="C180" t="n">
        <v>31</v>
      </c>
      <c r="D180" t="n">
        <v>34.41</v>
      </c>
      <c r="E180" t="n">
        <v>0.05</v>
      </c>
      <c r="F180">
        <f>C180*D180*(1-E180)</f>
        <v/>
      </c>
      <c r="G180">
        <f>F180*TaxRate</f>
        <v/>
      </c>
      <c r="H180">
        <f>IF(F180&gt;=Assumptions!$B$2,"High",IF(F180&gt;=Assumptions!$B$2/5,"Mid","Low"))</f>
        <v/>
      </c>
      <c r="I180">
        <f>F180/SUM($F$2:$F$201)</f>
        <v/>
      </c>
      <c r="J180">
        <f>SUMIF($A$2:$A$201,A180,$F$2:$F$201)</f>
        <v/>
      </c>
      <c r="K180">
        <f>F180/J180</f>
        <v/>
      </c>
      <c r="L180">
        <f>A180&amp;"-"&amp;B180&amp;" x"&amp;C180</f>
        <v/>
      </c>
      <c r="M180">
        <f>IFERROR(ROUND((F180-G180)/F180,4),0)</f>
        <v/>
      </c>
      <c r="N180">
        <f>UPPER(LEFT(B180,3))&amp;MOD(C180,7)</f>
        <v/>
      </c>
      <c r="O180">
        <f>SUMIFS($C$2:$C$201,$A$2:$A$201,A180,$B$2:$B$201,B180)</f>
        <v/>
      </c>
      <c r="P180">
        <f>VLOOKUP(B180,Products!$A$2:$B$6,2,FALSE)</f>
        <v/>
      </c>
      <c r="Q180">
        <f>Q179+F180</f>
        <v/>
      </c>
    </row>
    <row r="181">
      <c r="A181" t="inlineStr">
        <is>
          <t>South</t>
        </is>
      </c>
      <c r="B181" t="inlineStr">
        <is>
          <t>Gizmo</t>
        </is>
      </c>
      <c r="C181" t="n">
        <v>43</v>
      </c>
      <c r="D181" t="n">
        <v>7.02</v>
      </c>
      <c r="F181">
        <f>C181*D181*(1-E181)</f>
        <v/>
      </c>
      <c r="G181">
        <f>F181*TaxRate</f>
        <v/>
      </c>
      <c r="H181">
        <f>IF(F181&gt;=Assumptions!$B$2,"High",IF(F181&gt;=Assumptions!$B$2/5,"Mid","Low"))</f>
        <v/>
      </c>
      <c r="I181">
        <f>F181/SUM($F$2:$F$201)</f>
        <v/>
      </c>
      <c r="J181">
        <f>SUMIF($A$2:$A$201,A181,$F$2:$F$201)</f>
        <v/>
      </c>
      <c r="K181">
        <f>F181/J181</f>
        <v/>
      </c>
      <c r="L181">
        <f>A181&amp;"-"&amp;B181&amp;" x"&amp;C181</f>
        <v/>
      </c>
      <c r="M181">
        <f>IFERROR(ROUND((F181-G181)/F181,4),0)</f>
        <v/>
      </c>
      <c r="N181">
        <f>UPPER(LEFT(B181,3))&amp;MOD(C181,7)</f>
        <v/>
      </c>
      <c r="O181">
        <f>SUMIFS($C$2:$C$201,$A$2:$A$201,A181,$B$2:$B$201,B181)</f>
        <v/>
      </c>
      <c r="P181">
        <f>VLOOKUP(B181,Products!$A$2:$B$6,2,FALSE)</f>
        <v/>
      </c>
      <c r="Q181">
        <f>Q180+F181</f>
        <v/>
      </c>
    </row>
    <row r="182">
      <c r="A182" t="inlineStr">
        <is>
          <t>North</t>
        </is>
      </c>
      <c r="B182" t="inlineStr">
        <is>
          <t>Sprocket</t>
        </is>
      </c>
      <c r="C182" t="n">
        <v>4</v>
      </c>
      <c r="D182" t="n">
        <v>2.83</v>
      </c>
      <c r="E182" t="n">
        <v>0</v>
      </c>
      <c r="F182">
        <f>C182*D182*(1-E182)</f>
        <v/>
      </c>
      <c r="G182">
        <f>F182*TaxRate</f>
        <v/>
      </c>
      <c r="H182">
        <f>IF(F182&gt;=Assumptions!$B$2,"High",IF(F182&gt;=Assumptions!$B$2/5,"Mid","Low"))</f>
        <v/>
      </c>
      <c r="I182">
        <f>F182/SUM($F$2:$F$201)</f>
        <v/>
      </c>
      <c r="J182">
        <f>SUMIF($A$2:$A$201,A182,$F$2:$F$201)</f>
        <v/>
      </c>
      <c r="K182">
        <f>F182/J182</f>
        <v/>
      </c>
      <c r="L182">
        <f>A182&amp;"-"&amp;B182&amp;" x"&amp;C182</f>
        <v/>
      </c>
      <c r="M182">
        <f>IFERROR(ROUND((F182-G182)/F182,4),0)</f>
        <v/>
      </c>
      <c r="N182">
        <f>UPPER(LEFT(B182,3))&amp;MOD(C182,7)</f>
        <v/>
      </c>
      <c r="O182">
        <f>SUMIFS($C$2:$C$201,$A$2:$A$201,A182,$B$2:$B$201,B182)</f>
        <v/>
      </c>
      <c r="P182">
        <f>VLOOKUP(B182,Products!$A$2:$B$6,2,FALSE)</f>
        <v/>
      </c>
      <c r="Q182">
        <f>Q181+F182</f>
        <v/>
      </c>
    </row>
    <row r="183">
      <c r="A183" t="inlineStr">
        <is>
          <t>North</t>
        </is>
      </c>
      <c r="B183" t="inlineStr">
        <is>
          <t>Gadget</t>
        </is>
      </c>
      <c r="C183" t="n">
        <v>14</v>
      </c>
      <c r="D183" t="n">
        <v>39.58</v>
      </c>
      <c r="E183" t="n">
        <v>0.05</v>
      </c>
      <c r="F183">
        <f>C183*D183*(1-E183)</f>
        <v/>
      </c>
      <c r="G183">
        <f>F183*TaxRate</f>
        <v/>
      </c>
      <c r="H183">
        <f>IF(F183&gt;=Assumptions!$B$2,"High",IF(F183&gt;=Assumptions!$B$2/5,"Mid","Low"))</f>
        <v/>
      </c>
      <c r="I183">
        <f>F183/SUM($F$2:$F$201)</f>
        <v/>
      </c>
      <c r="J183">
        <f>SUMIF($A$2:$A$201,A183,$F$2:$F$201)</f>
        <v/>
      </c>
      <c r="K183">
        <f>F183/J183</f>
        <v/>
      </c>
      <c r="L183">
        <f>A183&amp;"-"&amp;B183&amp;" x"&amp;C183</f>
        <v/>
      </c>
      <c r="M183">
        <f>IFERROR(ROUND((F183-G183)/F183,4),0)</f>
        <v/>
      </c>
      <c r="N183">
        <f>UPPER(LEFT(B183,3))&amp;MOD(C183,7)</f>
        <v/>
      </c>
      <c r="O183">
        <f>SUMIFS($C$2:$C$201,$A$2:$A$201,A183,$B$2:$B$201,B183)</f>
        <v/>
      </c>
      <c r="P183">
        <f>VLOOKUP(B183,Products!$A$2:$B$6,2,FALSE)</f>
        <v/>
      </c>
      <c r="Q183">
        <f>Q182+F183</f>
        <v/>
      </c>
    </row>
    <row r="184">
      <c r="A184" t="inlineStr">
        <is>
          <t>North</t>
        </is>
      </c>
      <c r="B184" t="inlineStr">
        <is>
          <t>Widget</t>
        </is>
      </c>
      <c r="C184" t="n">
        <v>60</v>
      </c>
      <c r="D184" t="n">
        <v>12.96</v>
      </c>
      <c r="E184" t="n">
        <v>0.15</v>
      </c>
      <c r="F184">
        <f>C184*D184*(1-E184)</f>
        <v/>
      </c>
      <c r="G184">
        <f>F184*TaxRate</f>
        <v/>
      </c>
      <c r="H184">
        <f>IF(F184&gt;=Assumptions!$B$2,"High",IF(F184&gt;=Assumptions!$B$2/5,"Mid","Low"))</f>
        <v/>
      </c>
      <c r="I184">
        <f>F184/SUM($F$2:$F$201)</f>
        <v/>
      </c>
      <c r="J184">
        <f>SUMIF($A$2:$A$201,A184,$F$2:$F$201)</f>
        <v/>
      </c>
      <c r="K184">
        <f>F184/J184</f>
        <v/>
      </c>
      <c r="L184">
        <f>A184&amp;"-"&amp;B184&amp;" x"&amp;C184</f>
        <v/>
      </c>
      <c r="M184">
        <f>IFERROR(ROUND((F184-G184)/F184,4),0)</f>
        <v/>
      </c>
      <c r="N184">
        <f>UPPER(LEFT(B184,3))&amp;MOD(C184,7)</f>
        <v/>
      </c>
      <c r="O184">
        <f>SUMIFS($C$2:$C$201,$A$2:$A$201,A184,$B$2:$B$201,B184)</f>
        <v/>
      </c>
      <c r="P184">
        <f>VLOOKUP(B184,Products!$A$2:$B$6,2,FALSE)</f>
        <v/>
      </c>
      <c r="Q184">
        <f>Q183+F184</f>
        <v/>
      </c>
    </row>
    <row r="185">
      <c r="A185" t="inlineStr">
        <is>
          <t>West</t>
        </is>
      </c>
      <c r="B185" t="inlineStr">
        <is>
          <t>Gadget</t>
        </is>
      </c>
      <c r="C185" t="n">
        <v>31</v>
      </c>
      <c r="D185" t="n">
        <v>39</v>
      </c>
      <c r="F185">
        <f>C185*D185*(1-E185)</f>
        <v/>
      </c>
      <c r="G185">
        <f>F185*TaxRate</f>
        <v/>
      </c>
      <c r="H185">
        <f>IF(F185&gt;=Assumptions!$B$2,"High",IF(F185&gt;=Assumptions!$B$2/5,"Mid","Low"))</f>
        <v/>
      </c>
      <c r="I185">
        <f>F185/SUM($F$2:$F$201)</f>
        <v/>
      </c>
      <c r="J185">
        <f>SUMIF($A$2:$A$201,A185,$F$2:$F$201)</f>
        <v/>
      </c>
      <c r="K185">
        <f>F185/J185</f>
        <v/>
      </c>
      <c r="L185">
        <f>A185&amp;"-"&amp;B185&amp;" x"&amp;C185</f>
        <v/>
      </c>
      <c r="M185">
        <f>IFERROR(ROUND((F185-G185)/F185,4),0)</f>
        <v/>
      </c>
      <c r="N185">
        <f>UPPER(LEFT(B185,3))&amp;MOD(C185,7)</f>
        <v/>
      </c>
      <c r="O185">
        <f>SUMIFS($C$2:$C$201,$A$2:$A$201,A185,$B$2:$B$201,B185)</f>
        <v/>
      </c>
      <c r="P185">
        <f>VLOOKUP(B185,Products!$A$2:$B$6,2,FALSE)</f>
        <v/>
      </c>
      <c r="Q185">
        <f>Q184+F185</f>
        <v/>
      </c>
    </row>
    <row r="186">
      <c r="A186" t="inlineStr">
        <is>
          <t>Central</t>
        </is>
      </c>
      <c r="B186" t="inlineStr">
        <is>
          <t>Gadget</t>
        </is>
      </c>
      <c r="C186" t="n">
        <v>59</v>
      </c>
      <c r="D186" t="n">
        <v>38.72</v>
      </c>
      <c r="E186" t="n">
        <v>0</v>
      </c>
      <c r="F186">
        <f>C186*D186*(1-E186)</f>
        <v/>
      </c>
      <c r="G186">
        <f>F186*TaxRate</f>
        <v/>
      </c>
      <c r="H186">
        <f>IF(F186&gt;=Assumptions!$B$2,"High",IF(F186&gt;=Assumptions!$B$2/5,"Mid","Low"))</f>
        <v/>
      </c>
      <c r="I186">
        <f>F186/SUM($F$2:$F$201)</f>
        <v/>
      </c>
      <c r="J186">
        <f>SUMIF($A$2:$A$201,A186,$F$2:$F$201)</f>
        <v/>
      </c>
      <c r="K186">
        <f>F186/J186</f>
        <v/>
      </c>
      <c r="L186">
        <f>A186&amp;"-"&amp;B186&amp;" x"&amp;C186</f>
        <v/>
      </c>
      <c r="M186">
        <f>IFERROR(ROUND((F186-G186)/F186,4),0)</f>
        <v/>
      </c>
      <c r="N186">
        <f>UPPER(LEFT(B186,3))&amp;MOD(C186,7)</f>
        <v/>
      </c>
      <c r="O186">
        <f>SUMIFS($C$2:$C$201,$A$2:$A$201,A186,$B$2:$B$201,B186)</f>
        <v/>
      </c>
      <c r="P186">
        <f>VLOOKUP(B186,Products!$A$2:$B$6,2,FALSE)</f>
        <v/>
      </c>
      <c r="Q186">
        <f>Q185+F186</f>
        <v/>
      </c>
    </row>
    <row r="187">
      <c r="A187" t="inlineStr">
        <is>
          <t>East</t>
        </is>
      </c>
      <c r="B187" t="inlineStr">
        <is>
          <t>Sprocket</t>
        </is>
      </c>
      <c r="C187" t="n">
        <v>9</v>
      </c>
      <c r="D187" t="n">
        <v>3.02</v>
      </c>
      <c r="F187">
        <f>C187*D187*(1-E187)</f>
        <v/>
      </c>
      <c r="G187">
        <f>F187*TaxRate</f>
        <v/>
      </c>
      <c r="H187">
        <f>IF(F187&gt;=Assumptions!$B$2,"High",IF(F187&gt;=Assumptions!$B$2/5,"Mid","Low"))</f>
        <v/>
      </c>
      <c r="I187">
        <f>F187/SUM($F$2:$F$201)</f>
        <v/>
      </c>
      <c r="J187">
        <f>SUMIF($A$2:$A$201,A187,$F$2:$F$201)</f>
        <v/>
      </c>
      <c r="K187">
        <f>F187/J187</f>
        <v/>
      </c>
      <c r="L187">
        <f>A187&amp;"-"&amp;B187&amp;" x"&amp;C187</f>
        <v/>
      </c>
      <c r="M187">
        <f>IFERROR(ROUND((F187-G187)/F187,4),0)</f>
        <v/>
      </c>
      <c r="N187">
        <f>UPPER(LEFT(B187,3))&amp;MOD(C187,7)</f>
        <v/>
      </c>
      <c r="O187">
        <f>SUMIFS($C$2:$C$201,$A$2:$A$201,A187,$B$2:$B$201,B187)</f>
        <v/>
      </c>
      <c r="P187">
        <f>VLOOKUP(B187,Products!$A$2:$B$6,2,FALSE)</f>
        <v/>
      </c>
      <c r="Q187">
        <f>Q186+F187</f>
        <v/>
      </c>
    </row>
    <row r="188">
      <c r="A188" t="inlineStr">
        <is>
          <t>West</t>
        </is>
      </c>
      <c r="B188" t="inlineStr">
        <is>
          <t>Doohickey</t>
        </is>
      </c>
      <c r="C188" t="n">
        <v>28</v>
      </c>
      <c r="D188" t="n">
        <v>110.83</v>
      </c>
      <c r="E188" t="n">
        <v>0.05</v>
      </c>
      <c r="F188">
        <f>C188*D188*(1-E188)</f>
        <v/>
      </c>
      <c r="G188">
        <f>F188*TaxRate</f>
        <v/>
      </c>
      <c r="H188">
        <f>IF(F188&gt;=Assumptions!$B$2,"High",IF(F188&gt;=Assumptions!$B$2/5,"Mid","Low"))</f>
        <v/>
      </c>
      <c r="I188">
        <f>F188/SUM($F$2:$F$201)</f>
        <v/>
      </c>
      <c r="J188">
        <f>SUMIF($A$2:$A$201,A188,$F$2:$F$201)</f>
        <v/>
      </c>
      <c r="K188">
        <f>F188/J188</f>
        <v/>
      </c>
      <c r="L188">
        <f>A188&amp;"-"&amp;B188&amp;" x"&amp;C188</f>
        <v/>
      </c>
      <c r="M188">
        <f>IFERROR(ROUND((F188-G188)/F188,4),0)</f>
        <v/>
      </c>
      <c r="N188">
        <f>UPPER(LEFT(B188,3))&amp;MOD(C188,7)</f>
        <v/>
      </c>
      <c r="O188">
        <f>SUMIFS($C$2:$C$201,$A$2:$A$201,A188,$B$2:$B$201,B188)</f>
        <v/>
      </c>
      <c r="P188">
        <f>VLOOKUP(B188,Products!$A$2:$B$6,2,FALSE)</f>
        <v/>
      </c>
      <c r="Q188">
        <f>Q187+F188</f>
        <v/>
      </c>
    </row>
    <row r="189">
      <c r="A189" t="inlineStr">
        <is>
          <t>East</t>
        </is>
      </c>
      <c r="B189" t="inlineStr">
        <is>
          <t>Widget</t>
        </is>
      </c>
      <c r="C189" t="n">
        <v>59</v>
      </c>
      <c r="D189" t="n">
        <v>11.25</v>
      </c>
      <c r="E189" t="n">
        <v>0</v>
      </c>
      <c r="F189">
        <f>C189*D189*(1-E189)</f>
        <v/>
      </c>
      <c r="G189">
        <f>F189*TaxRate</f>
        <v/>
      </c>
      <c r="H189">
        <f>IF(F189&gt;=Assumptions!$B$2,"High",IF(F189&gt;=Assumptions!$B$2/5,"Mid","Low"))</f>
        <v/>
      </c>
      <c r="I189">
        <f>F189/SUM($F$2:$F$201)</f>
        <v/>
      </c>
      <c r="J189">
        <f>SUMIF($A$2:$A$201,A189,$F$2:$F$201)</f>
        <v/>
      </c>
      <c r="K189">
        <f>F189/J189</f>
        <v/>
      </c>
      <c r="L189">
        <f>A189&amp;"-"&amp;B189&amp;" x"&amp;C189</f>
        <v/>
      </c>
      <c r="M189">
        <f>IFERROR(ROUND((F189-G189)/F189,4),0)</f>
        <v/>
      </c>
      <c r="N189">
        <f>UPPER(LEFT(B189,3))&amp;MOD(C189,7)</f>
        <v/>
      </c>
      <c r="O189">
        <f>SUMIFS($C$2:$C$201,$A$2:$A$201,A189,$B$2:$B$201,B189)</f>
        <v/>
      </c>
      <c r="P189">
        <f>VLOOKUP(B189,Products!$A$2:$B$6,2,FALSE)</f>
        <v/>
      </c>
      <c r="Q189">
        <f>Q188+F189</f>
        <v/>
      </c>
    </row>
    <row r="190">
      <c r="A190" t="inlineStr">
        <is>
          <t>West</t>
        </is>
      </c>
      <c r="B190" t="inlineStr">
        <is>
          <t>Sprocket</t>
        </is>
      </c>
      <c r="C190" t="n">
        <v>47</v>
      </c>
      <c r="D190" t="n">
        <v>3.07</v>
      </c>
      <c r="E190" t="n">
        <v>0.05</v>
      </c>
      <c r="F190">
        <f>C190*D190*(1-E190)</f>
        <v/>
      </c>
      <c r="G190">
        <f>F190*TaxRate</f>
        <v/>
      </c>
      <c r="H190">
        <f>IF(F190&gt;=Assumptions!$B$2,"High",IF(F190&gt;=Assumptions!$B$2/5,"Mid","Low"))</f>
        <v/>
      </c>
      <c r="I190">
        <f>F190/SUM($F$2:$F$201)</f>
        <v/>
      </c>
      <c r="J190">
        <f>SUMIF($A$2:$A$201,A190,$F$2:$F$201)</f>
        <v/>
      </c>
      <c r="K190">
        <f>F190/J190</f>
        <v/>
      </c>
      <c r="L190">
        <f>A190&amp;"-"&amp;B190&amp;" x"&amp;C190</f>
        <v/>
      </c>
      <c r="M190">
        <f>IFERROR(ROUND((F190-G190)/F190,4),0)</f>
        <v/>
      </c>
      <c r="N190">
        <f>UPPER(LEFT(B190,3))&amp;MOD(C190,7)</f>
        <v/>
      </c>
      <c r="O190">
        <f>SUMIFS($C$2:$C$201,$A$2:$A$201,A190,$B$2:$B$201,B190)</f>
        <v/>
      </c>
      <c r="P190">
        <f>VLOOKUP(B190,Products!$A$2:$B$6,2,FALSE)</f>
        <v/>
      </c>
      <c r="Q190">
        <f>Q189+F190</f>
        <v/>
      </c>
    </row>
    <row r="191">
      <c r="A191" t="inlineStr">
        <is>
          <t>South</t>
        </is>
      </c>
      <c r="B191" t="inlineStr">
        <is>
          <t>Gizmo</t>
        </is>
      </c>
      <c r="C191" t="n">
        <v>21</v>
      </c>
      <c r="D191" t="n">
        <v>7.12</v>
      </c>
      <c r="F191">
        <f>C191*D191*(1-E191)</f>
        <v/>
      </c>
      <c r="G191">
        <f>F191*TaxRate</f>
        <v/>
      </c>
      <c r="H191">
        <f>IF(F191&gt;=Assumptions!$B$2,"High",IF(F191&gt;=Assumptions!$B$2/5,"Mid","Low"))</f>
        <v/>
      </c>
      <c r="I191">
        <f>F191/SUM($F$2:$F$201)</f>
        <v/>
      </c>
      <c r="J191">
        <f>SUMIF($A$2:$A$201,A191,$F$2:$F$201)</f>
        <v/>
      </c>
      <c r="K191">
        <f>F191/J191</f>
        <v/>
      </c>
      <c r="L191">
        <f>A191&amp;"-"&amp;B191&amp;" x"&amp;C191</f>
        <v/>
      </c>
      <c r="M191">
        <f>IFERROR(ROUND((F191-G191)/F191,4),0)</f>
        <v/>
      </c>
      <c r="N191">
        <f>UPPER(LEFT(B191,3))&amp;MOD(C191,7)</f>
        <v/>
      </c>
      <c r="O191">
        <f>SUMIFS($C$2:$C$201,$A$2:$A$201,A191,$B$2:$B$201,B191)</f>
        <v/>
      </c>
      <c r="P191">
        <f>VLOOKUP(B191,Products!$A$2:$B$6,2,FALSE)</f>
        <v/>
      </c>
      <c r="Q191">
        <f>Q190+F191</f>
        <v/>
      </c>
    </row>
    <row r="192">
      <c r="A192" t="inlineStr">
        <is>
          <t>East</t>
        </is>
      </c>
      <c r="B192" t="inlineStr">
        <is>
          <t>Widget</t>
        </is>
      </c>
      <c r="C192" t="n">
        <v>17</v>
      </c>
      <c r="D192" t="n">
        <v>10.93</v>
      </c>
      <c r="E192" t="n">
        <v>0.1</v>
      </c>
      <c r="F192">
        <f>C192*D192*(1-E192)</f>
        <v/>
      </c>
      <c r="G192">
        <f>F192*TaxRate</f>
        <v/>
      </c>
      <c r="H192">
        <f>IF(F192&gt;=Assumptions!$B$2,"High",IF(F192&gt;=Assumptions!$B$2/5,"Mid","Low"))</f>
        <v/>
      </c>
      <c r="I192">
        <f>F192/SUM($F$2:$F$201)</f>
        <v/>
      </c>
      <c r="J192">
        <f>SUMIF($A$2:$A$201,A192,$F$2:$F$201)</f>
        <v/>
      </c>
      <c r="K192">
        <f>F192/J192</f>
        <v/>
      </c>
      <c r="L192">
        <f>A192&amp;"-"&amp;B192&amp;" x"&amp;C192</f>
        <v/>
      </c>
      <c r="M192">
        <f>IFERROR(ROUND((F192-G192)/F192,4),0)</f>
        <v/>
      </c>
      <c r="N192">
        <f>UPPER(LEFT(B192,3))&amp;MOD(C192,7)</f>
        <v/>
      </c>
      <c r="O192">
        <f>SUMIFS($C$2:$C$201,$A$2:$A$201,A192,$B$2:$B$201,B192)</f>
        <v/>
      </c>
      <c r="P192">
        <f>VLOOKUP(B192,Products!$A$2:$B$6,2,FALSE)</f>
        <v/>
      </c>
      <c r="Q192">
        <f>Q191+F192</f>
        <v/>
      </c>
    </row>
    <row r="193">
      <c r="A193" t="inlineStr">
        <is>
          <t>East</t>
        </is>
      </c>
      <c r="B193" t="inlineStr">
        <is>
          <t>Sprocket</t>
        </is>
      </c>
      <c r="C193" t="n">
        <v>48</v>
      </c>
      <c r="D193" t="n">
        <v>2.83</v>
      </c>
      <c r="E193" t="n">
        <v>0.05</v>
      </c>
      <c r="F193">
        <f>C193*D193*(1-E193)</f>
        <v/>
      </c>
      <c r="G193">
        <f>F193*TaxRate</f>
        <v/>
      </c>
      <c r="H193">
        <f>IF(F193&gt;=Assumptions!$B$2,"High",IF(F193&gt;=Assumptions!$B$2/5,"Mid","Low"))</f>
        <v/>
      </c>
      <c r="I193">
        <f>F193/SUM($F$2:$F$201)</f>
        <v/>
      </c>
      <c r="J193">
        <f>SUMIF($A$2:$A$201,A193,$F$2:$F$201)</f>
        <v/>
      </c>
      <c r="K193">
        <f>F193/J193</f>
        <v/>
      </c>
      <c r="L193">
        <f>A193&amp;"-"&amp;B193&amp;" x"&amp;C193</f>
        <v/>
      </c>
      <c r="M193">
        <f>IFERROR(ROUND((F193-G193)/F193,4),0)</f>
        <v/>
      </c>
      <c r="N193">
        <f>UPPER(LEFT(B193,3))&amp;MOD(C193,7)</f>
        <v/>
      </c>
      <c r="O193">
        <f>SUMIFS($C$2:$C$201,$A$2:$A$201,A193,$B$2:$B$201,B193)</f>
        <v/>
      </c>
      <c r="P193">
        <f>VLOOKUP(B193,Products!$A$2:$B$6,2,FALSE)</f>
        <v/>
      </c>
      <c r="Q193">
        <f>Q192+F193</f>
        <v/>
      </c>
    </row>
    <row r="194">
      <c r="A194" t="inlineStr">
        <is>
          <t>North</t>
        </is>
      </c>
      <c r="B194" t="inlineStr">
        <is>
          <t>Doohickey</t>
        </is>
      </c>
      <c r="C194" t="n">
        <v>5</v>
      </c>
      <c r="D194" t="n">
        <v>85.61</v>
      </c>
      <c r="E194" t="n">
        <v>0.1</v>
      </c>
      <c r="F194">
        <f>C194*D194*(1-E194)</f>
        <v/>
      </c>
      <c r="G194">
        <f>F194*TaxRate</f>
        <v/>
      </c>
      <c r="H194">
        <f>IF(F194&gt;=Assumptions!$B$2,"High",IF(F194&gt;=Assumptions!$B$2/5,"Mid","Low"))</f>
        <v/>
      </c>
      <c r="I194">
        <f>F194/SUM($F$2:$F$201)</f>
        <v/>
      </c>
      <c r="J194">
        <f>SUMIF($A$2:$A$201,A194,$F$2:$F$201)</f>
        <v/>
      </c>
      <c r="K194">
        <f>F194/J194</f>
        <v/>
      </c>
      <c r="L194">
        <f>A194&amp;"-"&amp;B194&amp;" x"&amp;C194</f>
        <v/>
      </c>
      <c r="M194">
        <f>IFERROR(ROUND((F194-G194)/F194,4),0)</f>
        <v/>
      </c>
      <c r="N194">
        <f>UPPER(LEFT(B194,3))&amp;MOD(C194,7)</f>
        <v/>
      </c>
      <c r="O194">
        <f>SUMIFS($C$2:$C$201,$A$2:$A$201,A194,$B$2:$B$201,B194)</f>
        <v/>
      </c>
      <c r="P194">
        <f>VLOOKUP(B194,Products!$A$2:$B$6,2,FALSE)</f>
        <v/>
      </c>
      <c r="Q194">
        <f>Q193+F194</f>
        <v/>
      </c>
    </row>
    <row r="195">
      <c r="A195" t="inlineStr">
        <is>
          <t>West</t>
        </is>
      </c>
      <c r="B195" t="inlineStr">
        <is>
          <t>Gizmo</t>
        </is>
      </c>
      <c r="C195" t="n">
        <v>34</v>
      </c>
      <c r="D195" t="n">
        <v>8.16</v>
      </c>
      <c r="E195" t="n">
        <v>0</v>
      </c>
      <c r="F195">
        <f>C195*D195*(1-E195)</f>
        <v/>
      </c>
      <c r="G195">
        <f>F195*TaxRate</f>
        <v/>
      </c>
      <c r="H195">
        <f>IF(F195&gt;=Assumptions!$B$2,"High",IF(F195&gt;=Assumptions!$B$2/5,"Mid","Low"))</f>
        <v/>
      </c>
      <c r="I195">
        <f>F195/SUM($F$2:$F$201)</f>
        <v/>
      </c>
      <c r="J195">
        <f>SUMIF($A$2:$A$201,A195,$F$2:$F$201)</f>
        <v/>
      </c>
      <c r="K195">
        <f>F195/J195</f>
        <v/>
      </c>
      <c r="L195">
        <f>A195&amp;"-"&amp;B195&amp;" x"&amp;C195</f>
        <v/>
      </c>
      <c r="M195">
        <f>IFERROR(ROUND((F195-G195)/F195,4),0)</f>
        <v/>
      </c>
      <c r="N195">
        <f>UPPER(LEFT(B195,3))&amp;MOD(C195,7)</f>
        <v/>
      </c>
      <c r="O195">
        <f>SUMIFS($C$2:$C$201,$A$2:$A$201,A195,$B$2:$B$201,B195)</f>
        <v/>
      </c>
      <c r="P195">
        <f>VLOOKUP(B195,Products!$A$2:$B$6,2,FALSE)</f>
        <v/>
      </c>
      <c r="Q195">
        <f>Q194+F195</f>
        <v/>
      </c>
    </row>
    <row r="196">
      <c r="A196" t="inlineStr">
        <is>
          <t>North</t>
        </is>
      </c>
      <c r="B196" t="inlineStr">
        <is>
          <t>Gizmo</t>
        </is>
      </c>
      <c r="C196" t="n">
        <v>47</v>
      </c>
      <c r="D196" t="n">
        <v>8.109999999999999</v>
      </c>
      <c r="F196">
        <f>C196*D196*(1-E196)</f>
        <v/>
      </c>
      <c r="G196">
        <f>F196*TaxRate</f>
        <v/>
      </c>
      <c r="H196">
        <f>IF(F196&gt;=Assumptions!$B$2,"High",IF(F196&gt;=Assumptions!$B$2/5,"Mid","Low"))</f>
        <v/>
      </c>
      <c r="I196">
        <f>F196/SUM($F$2:$F$201)</f>
        <v/>
      </c>
      <c r="J196">
        <f>SUMIF($A$2:$A$201,A196,$F$2:$F$201)</f>
        <v/>
      </c>
      <c r="K196">
        <f>F196/J196</f>
        <v/>
      </c>
      <c r="L196">
        <f>A196&amp;"-"&amp;B196&amp;" x"&amp;C196</f>
        <v/>
      </c>
      <c r="M196">
        <f>IFERROR(ROUND((F196-G196)/F196,4),0)</f>
        <v/>
      </c>
      <c r="N196">
        <f>UPPER(LEFT(B196,3))&amp;MOD(C196,7)</f>
        <v/>
      </c>
      <c r="O196">
        <f>SUMIFS($C$2:$C$201,$A$2:$A$201,A196,$B$2:$B$201,B196)</f>
        <v/>
      </c>
      <c r="P196">
        <f>VLOOKUP(B196,Products!$A$2:$B$6,2,FALSE)</f>
        <v/>
      </c>
      <c r="Q196">
        <f>Q195+F196</f>
        <v/>
      </c>
    </row>
    <row r="197">
      <c r="A197" t="inlineStr">
        <is>
          <t>South</t>
        </is>
      </c>
      <c r="B197" t="inlineStr">
        <is>
          <t>Gadget</t>
        </is>
      </c>
      <c r="C197" t="n">
        <v>51</v>
      </c>
      <c r="D197" t="n">
        <v>41.5</v>
      </c>
      <c r="E197" t="n">
        <v>0.1</v>
      </c>
      <c r="F197">
        <f>C197*D197*(1-E197)</f>
        <v/>
      </c>
      <c r="G197">
        <f>F197*TaxRate</f>
        <v/>
      </c>
      <c r="H197">
        <f>IF(F197&gt;=Assumptions!$B$2,"High",IF(F197&gt;=Assumptions!$B$2/5,"Mid","Low"))</f>
        <v/>
      </c>
      <c r="I197">
        <f>F197/SUM($F$2:$F$201)</f>
        <v/>
      </c>
      <c r="J197">
        <f>SUMIF($A$2:$A$201,A197,$F$2:$F$201)</f>
        <v/>
      </c>
      <c r="K197">
        <f>F197/J197</f>
        <v/>
      </c>
      <c r="L197">
        <f>A197&amp;"-"&amp;B197&amp;" x"&amp;C197</f>
        <v/>
      </c>
      <c r="M197">
        <f>IFERROR(ROUND((F197-G197)/F197,4),0)</f>
        <v/>
      </c>
      <c r="N197">
        <f>UPPER(LEFT(B197,3))&amp;MOD(C197,7)</f>
        <v/>
      </c>
      <c r="O197">
        <f>SUMIFS($C$2:$C$201,$A$2:$A$201,A197,$B$2:$B$201,B197)</f>
        <v/>
      </c>
      <c r="P197">
        <f>VLOOKUP(B197,Products!$A$2:$B$6,2,FALSE)</f>
        <v/>
      </c>
      <c r="Q197">
        <f>Q196+F197</f>
        <v/>
      </c>
    </row>
    <row r="198">
      <c r="A198" t="inlineStr">
        <is>
          <t>East</t>
        </is>
      </c>
      <c r="B198" t="inlineStr">
        <is>
          <t>Doohickey</t>
        </is>
      </c>
      <c r="C198" t="n">
        <v>2</v>
      </c>
      <c r="D198" t="n">
        <v>97.93000000000001</v>
      </c>
      <c r="F198">
        <f>C198*D198*(1-E198)</f>
        <v/>
      </c>
      <c r="G198">
        <f>F198*TaxRate</f>
        <v/>
      </c>
      <c r="H198">
        <f>IF(F198&gt;=Assumptions!$B$2,"High",IF(F198&gt;=Assumptions!$B$2/5,"Mid","Low"))</f>
        <v/>
      </c>
      <c r="I198">
        <f>F198/SUM($F$2:$F$201)</f>
        <v/>
      </c>
      <c r="J198">
        <f>SUMIF($A$2:$A$201,A198,$F$2:$F$201)</f>
        <v/>
      </c>
      <c r="K198">
        <f>F198/J198</f>
        <v/>
      </c>
      <c r="L198">
        <f>A198&amp;"-"&amp;B198&amp;" x"&amp;C198</f>
        <v/>
      </c>
      <c r="M198">
        <f>IFERROR(ROUND((F198-G198)/F198,4),0)</f>
        <v/>
      </c>
      <c r="N198">
        <f>UPPER(LEFT(B198,3))&amp;MOD(C198,7)</f>
        <v/>
      </c>
      <c r="O198">
        <f>SUMIFS($C$2:$C$201,$A$2:$A$201,A198,$B$2:$B$201,B198)</f>
        <v/>
      </c>
      <c r="P198">
        <f>VLOOKUP(B198,Products!$A$2:$B$6,2,FALSE)</f>
        <v/>
      </c>
      <c r="Q198">
        <f>Q197+F198</f>
        <v/>
      </c>
    </row>
    <row r="199">
      <c r="A199" t="inlineStr">
        <is>
          <t>North</t>
        </is>
      </c>
      <c r="B199" t="inlineStr">
        <is>
          <t>Gadget</t>
        </is>
      </c>
      <c r="C199" t="n">
        <v>47</v>
      </c>
      <c r="D199" t="n">
        <v>34.75</v>
      </c>
      <c r="E199" t="n">
        <v>0.15</v>
      </c>
      <c r="F199">
        <f>C199*D199*(1-E199)</f>
        <v/>
      </c>
      <c r="G199">
        <f>F199*TaxRate</f>
        <v/>
      </c>
      <c r="H199">
        <f>IF(F199&gt;=Assumptions!$B$2,"High",IF(F199&gt;=Assumptions!$B$2/5,"Mid","Low"))</f>
        <v/>
      </c>
      <c r="I199">
        <f>F199/SUM($F$2:$F$201)</f>
        <v/>
      </c>
      <c r="J199">
        <f>SUMIF($A$2:$A$201,A199,$F$2:$F$201)</f>
        <v/>
      </c>
      <c r="K199">
        <f>F199/J199</f>
        <v/>
      </c>
      <c r="L199">
        <f>A199&amp;"-"&amp;B199&amp;" x"&amp;C199</f>
        <v/>
      </c>
      <c r="M199">
        <f>IFERROR(ROUND((F199-G199)/F199,4),0)</f>
        <v/>
      </c>
      <c r="N199">
        <f>UPPER(LEFT(B199,3))&amp;MOD(C199,7)</f>
        <v/>
      </c>
      <c r="O199">
        <f>SUMIFS($C$2:$C$201,$A$2:$A$201,A199,$B$2:$B$201,B199)</f>
        <v/>
      </c>
      <c r="P199">
        <f>VLOOKUP(B199,Products!$A$2:$B$6,2,FALSE)</f>
        <v/>
      </c>
      <c r="Q199">
        <f>Q198+F199</f>
        <v/>
      </c>
    </row>
    <row r="200">
      <c r="A200" t="inlineStr">
        <is>
          <t>North</t>
        </is>
      </c>
      <c r="B200" t="inlineStr">
        <is>
          <t>Gizmo</t>
        </is>
      </c>
      <c r="C200" t="n">
        <v>17</v>
      </c>
      <c r="D200" t="n">
        <v>6.89</v>
      </c>
      <c r="E200" t="n">
        <v>0.15</v>
      </c>
      <c r="F200">
        <f>C200*D200*(1-E200)</f>
        <v/>
      </c>
      <c r="G200">
        <f>F200*TaxRate</f>
        <v/>
      </c>
      <c r="H200">
        <f>IF(F200&gt;=Assumptions!$B$2,"High",IF(F200&gt;=Assumptions!$B$2/5,"Mid","Low"))</f>
        <v/>
      </c>
      <c r="I200">
        <f>F200/SUM($F$2:$F$201)</f>
        <v/>
      </c>
      <c r="J200">
        <f>SUMIF($A$2:$A$201,A200,$F$2:$F$201)</f>
        <v/>
      </c>
      <c r="K200">
        <f>F200/J200</f>
        <v/>
      </c>
      <c r="L200">
        <f>A200&amp;"-"&amp;B200&amp;" x"&amp;C200</f>
        <v/>
      </c>
      <c r="M200">
        <f>IFERROR(ROUND((F200-G200)/F200,4),0)</f>
        <v/>
      </c>
      <c r="N200">
        <f>UPPER(LEFT(B200,3))&amp;MOD(C200,7)</f>
        <v/>
      </c>
      <c r="O200">
        <f>SUMIFS($C$2:$C$201,$A$2:$A$201,A200,$B$2:$B$201,B200)</f>
        <v/>
      </c>
      <c r="P200">
        <f>VLOOKUP(B200,Products!$A$2:$B$6,2,FALSE)</f>
        <v/>
      </c>
      <c r="Q200">
        <f>Q199+F200</f>
        <v/>
      </c>
    </row>
    <row r="201">
      <c r="A201" t="inlineStr">
        <is>
          <t>East</t>
        </is>
      </c>
      <c r="B201" t="inlineStr">
        <is>
          <t>Gizmo</t>
        </is>
      </c>
      <c r="C201" t="n">
        <v>47</v>
      </c>
      <c r="D201" t="n">
        <v>7.72</v>
      </c>
      <c r="E201" t="n">
        <v>0.05</v>
      </c>
      <c r="F201">
        <f>C201*D201*(1-E201)</f>
        <v/>
      </c>
      <c r="G201">
        <f>F201*TaxRate</f>
        <v/>
      </c>
      <c r="H201">
        <f>IF(F201&gt;=Assumptions!$B$2,"High",IF(F201&gt;=Assumptions!$B$2/5,"Mid","Low"))</f>
        <v/>
      </c>
      <c r="I201">
        <f>F201/SUM($F$2:$F$201)</f>
        <v/>
      </c>
      <c r="J201">
        <f>SUMIF($A$2:$A$201,A201,$F$2:$F$201)</f>
        <v/>
      </c>
      <c r="K201">
        <f>F201/J201</f>
        <v/>
      </c>
      <c r="L201">
        <f>A201&amp;"-"&amp;B201&amp;" x"&amp;C201</f>
        <v/>
      </c>
      <c r="M201">
        <f>IFERROR(ROUND((F201-G201)/F201,4),0)</f>
        <v/>
      </c>
      <c r="N201">
        <f>UPPER(LEFT(B201,3))&amp;MOD(C201,7)</f>
        <v/>
      </c>
      <c r="O201">
        <f>SUMIFS($C$2:$C$201,$A$2:$A$201,A201,$B$2:$B$201,B201)</f>
        <v/>
      </c>
      <c r="P201">
        <f>VLOOKUP(B201,Products!$A$2:$B$6,2,FALSE)</f>
        <v/>
      </c>
      <c r="Q201">
        <f>Q200+F201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List Price</t>
        </is>
      </c>
    </row>
    <row r="2">
      <c r="A2" t="inlineStr">
        <is>
          <t>Widget</t>
        </is>
      </c>
      <c r="B2" t="n">
        <v>12.5</v>
      </c>
    </row>
    <row r="3">
      <c r="A3" t="inlineStr">
        <is>
          <t>Gadget</t>
        </is>
      </c>
      <c r="B3" t="n">
        <v>40</v>
      </c>
    </row>
    <row r="4">
      <c r="A4" t="inlineStr">
        <is>
          <t>Gizmo</t>
        </is>
      </c>
      <c r="B4" t="n">
        <v>7.25</v>
      </c>
    </row>
    <row r="5">
      <c r="A5" t="inlineStr">
        <is>
          <t>Doohickey</t>
        </is>
      </c>
      <c r="B5" t="n">
        <v>99</v>
      </c>
    </row>
    <row r="6">
      <c r="A6" t="inlineStr">
        <is>
          <t>Sprocket</t>
        </is>
      </c>
      <c r="B6" t="n">
        <v>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Rate</t>
        </is>
      </c>
      <c r="B1" t="n">
        <v>0.0825</v>
      </c>
    </row>
    <row r="2">
      <c r="A2" t="inlineStr">
        <is>
          <t>High Threshold</t>
        </is>
      </c>
      <c r="B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2026-10-30T02:55:47Z</dcterms:created>
  <dcterms:modified xsi:type="dcterms:W3CDTF">2026-10-30T02:55:47Z</dcterms:modified>
</cp:coreProperties>
</file>